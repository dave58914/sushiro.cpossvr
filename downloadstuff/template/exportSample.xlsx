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etpub\wwwroot\fujitsu2\downloadstuff\template\"/>
    </mc:Choice>
  </mc:AlternateContent>
  <xr:revisionPtr revIDLastSave="0" documentId="13_ncr:1_{E2C8DBDB-FA14-41E9-993A-E19BCCD64D0D}" xr6:coauthVersionLast="45" xr6:coauthVersionMax="46" xr10:uidLastSave="{00000000-0000-0000-0000-000000000000}"/>
  <bookViews>
    <workbookView xWindow="-120" yWindow="-120" windowWidth="20730" windowHeight="11310" activeTab="1" xr2:uid="{00000000-000D-0000-FFFF-FFFF00000000}"/>
  </bookViews>
  <sheets>
    <sheet name="ExcelUpload" sheetId="3" r:id="rId1"/>
    <sheet name="Data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34" i="10" l="1"/>
  <c r="S34" i="10"/>
  <c r="R4" i="10"/>
  <c r="S4" i="10"/>
  <c r="R5" i="10"/>
  <c r="S5" i="10"/>
  <c r="R6" i="10"/>
  <c r="S6" i="10"/>
  <c r="R7" i="10"/>
  <c r="S7" i="10"/>
  <c r="R8" i="10"/>
  <c r="S8" i="10"/>
  <c r="R9" i="10"/>
  <c r="S9" i="10"/>
  <c r="R10" i="10"/>
  <c r="S10" i="10"/>
  <c r="R11" i="10"/>
  <c r="S11" i="10"/>
  <c r="R12" i="10"/>
  <c r="S12" i="10"/>
  <c r="R13" i="10"/>
  <c r="S13" i="10"/>
  <c r="R14" i="10"/>
  <c r="S14" i="10"/>
  <c r="R15" i="10"/>
  <c r="S15" i="10"/>
  <c r="R16" i="10"/>
  <c r="S16" i="10"/>
  <c r="R17" i="10"/>
  <c r="S17" i="10"/>
  <c r="R18" i="10"/>
  <c r="S18" i="10"/>
  <c r="R19" i="10"/>
  <c r="S19" i="10"/>
  <c r="R20" i="10"/>
  <c r="S20" i="10"/>
  <c r="R21" i="10"/>
  <c r="S21" i="10"/>
  <c r="R22" i="10"/>
  <c r="S22" i="10"/>
  <c r="R23" i="10"/>
  <c r="S23" i="10"/>
  <c r="R24" i="10"/>
  <c r="S24" i="10"/>
  <c r="R25" i="10"/>
  <c r="S25" i="10"/>
  <c r="R26" i="10"/>
  <c r="S26" i="10"/>
  <c r="R27" i="10"/>
  <c r="S27" i="10"/>
  <c r="R28" i="10"/>
  <c r="S28" i="10"/>
  <c r="R29" i="10"/>
  <c r="S29" i="10"/>
  <c r="R30" i="10"/>
  <c r="S30" i="10"/>
  <c r="R31" i="10"/>
  <c r="S31" i="10" s="1"/>
  <c r="R32" i="10"/>
  <c r="S32" i="10" s="1"/>
  <c r="S33" i="10"/>
  <c r="R33" i="10"/>
  <c r="B33" i="10"/>
  <c r="C33" i="10"/>
  <c r="B34" i="10"/>
  <c r="C34" i="10"/>
  <c r="B5" i="10"/>
  <c r="C5" i="10"/>
  <c r="B6" i="10"/>
  <c r="C6" i="10"/>
  <c r="B7" i="10"/>
  <c r="C7" i="10"/>
  <c r="B8" i="10"/>
  <c r="C8" i="10"/>
  <c r="B9" i="10"/>
  <c r="C9" i="10"/>
  <c r="B10" i="10"/>
  <c r="C10" i="10"/>
  <c r="B11" i="10"/>
  <c r="C11" i="10"/>
  <c r="B12" i="10"/>
  <c r="C12" i="10"/>
  <c r="B13" i="10"/>
  <c r="C13" i="10"/>
  <c r="B14" i="10"/>
  <c r="C14" i="10"/>
  <c r="B15" i="10"/>
  <c r="C15" i="10"/>
  <c r="B16" i="10"/>
  <c r="C16" i="10"/>
  <c r="B17" i="10"/>
  <c r="C17" i="10"/>
  <c r="B18" i="10"/>
  <c r="C18" i="10"/>
  <c r="B19" i="10"/>
  <c r="C19" i="10"/>
  <c r="B20" i="10"/>
  <c r="C20" i="10"/>
  <c r="B21" i="10"/>
  <c r="C21" i="10"/>
  <c r="B22" i="10"/>
  <c r="C22" i="10"/>
  <c r="B23" i="10"/>
  <c r="C23" i="10"/>
  <c r="B24" i="10"/>
  <c r="C24" i="10"/>
  <c r="B25" i="10"/>
  <c r="C25" i="10"/>
  <c r="B26" i="10"/>
  <c r="C26" i="10"/>
  <c r="B27" i="10"/>
  <c r="C27" i="10"/>
  <c r="B28" i="10"/>
  <c r="C28" i="10"/>
  <c r="B29" i="10"/>
  <c r="C29" i="10"/>
  <c r="B30" i="10"/>
  <c r="C30" i="10"/>
  <c r="B31" i="10"/>
  <c r="C31" i="10"/>
  <c r="B32" i="10"/>
  <c r="C32" i="10" s="1"/>
  <c r="E5" i="10"/>
  <c r="F5" i="10"/>
  <c r="E6" i="10"/>
  <c r="F6" i="10"/>
  <c r="E7" i="10"/>
  <c r="F7" i="10"/>
  <c r="E8" i="10"/>
  <c r="F8" i="10"/>
  <c r="E9" i="10"/>
  <c r="F9" i="10"/>
  <c r="E10" i="10"/>
  <c r="F10" i="10"/>
  <c r="E11" i="10"/>
  <c r="F11" i="10"/>
  <c r="E12" i="10"/>
  <c r="F12" i="10"/>
  <c r="E13" i="10"/>
  <c r="F13" i="10"/>
  <c r="E14" i="10"/>
  <c r="F14" i="10"/>
  <c r="E15" i="10"/>
  <c r="F15" i="10"/>
  <c r="E16" i="10"/>
  <c r="F16" i="10"/>
  <c r="E17" i="10"/>
  <c r="F17" i="10"/>
  <c r="E18" i="10"/>
  <c r="F18" i="10"/>
  <c r="E19" i="10"/>
  <c r="F19" i="10"/>
  <c r="E20" i="10"/>
  <c r="F20" i="10"/>
  <c r="E21" i="10"/>
  <c r="F21" i="10"/>
  <c r="E22" i="10"/>
  <c r="F22" i="10"/>
  <c r="E23" i="10"/>
  <c r="F23" i="10"/>
  <c r="E24" i="10"/>
  <c r="F24" i="10"/>
  <c r="E25" i="10"/>
  <c r="F25" i="10"/>
  <c r="E26" i="10"/>
  <c r="F26" i="10"/>
  <c r="E27" i="10"/>
  <c r="F27" i="10"/>
  <c r="E28" i="10"/>
  <c r="F28" i="10"/>
  <c r="E29" i="10"/>
  <c r="F29" i="10"/>
  <c r="E30" i="10"/>
  <c r="F30" i="10"/>
  <c r="E31" i="10"/>
  <c r="F31" i="10"/>
  <c r="E32" i="10"/>
  <c r="F32" i="10"/>
  <c r="E33" i="10"/>
  <c r="F33" i="10"/>
  <c r="E34" i="10"/>
  <c r="F34" i="10"/>
  <c r="H34" i="10"/>
  <c r="I34" i="10"/>
  <c r="H4" i="10"/>
  <c r="I4" i="10"/>
  <c r="H5" i="10"/>
  <c r="I5" i="10"/>
  <c r="H6" i="10"/>
  <c r="I6" i="10"/>
  <c r="H7" i="10"/>
  <c r="I7" i="10"/>
  <c r="H8" i="10"/>
  <c r="I8" i="10"/>
  <c r="H9" i="10"/>
  <c r="I9" i="10"/>
  <c r="H10" i="10"/>
  <c r="I10" i="10"/>
  <c r="H11" i="10"/>
  <c r="I11" i="10"/>
  <c r="H12" i="10"/>
  <c r="I12" i="10"/>
  <c r="H13" i="10"/>
  <c r="I13" i="10"/>
  <c r="H14" i="10"/>
  <c r="I14" i="10"/>
  <c r="H15" i="10"/>
  <c r="I15" i="10"/>
  <c r="H16" i="10"/>
  <c r="I16" i="10"/>
  <c r="H17" i="10"/>
  <c r="I17" i="10"/>
  <c r="H18" i="10"/>
  <c r="I18" i="10"/>
  <c r="H19" i="10"/>
  <c r="I19" i="10"/>
  <c r="H20" i="10"/>
  <c r="I20" i="10"/>
  <c r="H21" i="10"/>
  <c r="I21" i="10"/>
  <c r="H22" i="10"/>
  <c r="I22" i="10"/>
  <c r="H23" i="10"/>
  <c r="I23" i="10"/>
  <c r="H24" i="10"/>
  <c r="I24" i="10"/>
  <c r="H25" i="10"/>
  <c r="I25" i="10"/>
  <c r="H26" i="10"/>
  <c r="I26" i="10"/>
  <c r="H27" i="10"/>
  <c r="I27" i="10"/>
  <c r="H28" i="10"/>
  <c r="I28" i="10"/>
  <c r="H29" i="10"/>
  <c r="I29" i="10"/>
  <c r="H30" i="10"/>
  <c r="I30" i="10"/>
  <c r="H31" i="10"/>
  <c r="I31" i="10"/>
  <c r="H32" i="10"/>
  <c r="I32" i="10"/>
  <c r="H33" i="10"/>
  <c r="I33" i="10"/>
  <c r="K32" i="10"/>
  <c r="L32" i="10"/>
  <c r="K4" i="10"/>
  <c r="L4" i="10"/>
  <c r="K5" i="10"/>
  <c r="L5" i="10"/>
  <c r="K6" i="10"/>
  <c r="L6" i="10"/>
  <c r="K7" i="10"/>
  <c r="L7" i="10"/>
  <c r="K8" i="10"/>
  <c r="L8" i="10"/>
  <c r="K9" i="10"/>
  <c r="L9" i="10"/>
  <c r="K10" i="10"/>
  <c r="L10" i="10"/>
  <c r="K11" i="10"/>
  <c r="L11" i="10"/>
  <c r="K12" i="10"/>
  <c r="L12" i="10"/>
  <c r="K13" i="10"/>
  <c r="L13" i="10"/>
  <c r="K14" i="10"/>
  <c r="L14" i="10"/>
  <c r="K15" i="10"/>
  <c r="L15" i="10"/>
  <c r="K16" i="10"/>
  <c r="L16" i="10"/>
  <c r="K17" i="10"/>
  <c r="L17" i="10"/>
  <c r="K18" i="10"/>
  <c r="L18" i="10"/>
  <c r="K19" i="10"/>
  <c r="L19" i="10"/>
  <c r="K20" i="10"/>
  <c r="L20" i="10"/>
  <c r="K21" i="10"/>
  <c r="L21" i="10"/>
  <c r="K22" i="10"/>
  <c r="L22" i="10"/>
  <c r="K23" i="10"/>
  <c r="L23" i="10"/>
  <c r="K24" i="10"/>
  <c r="L24" i="10"/>
  <c r="K25" i="10"/>
  <c r="L25" i="10"/>
  <c r="K26" i="10"/>
  <c r="L26" i="10"/>
  <c r="K27" i="10"/>
  <c r="L27" i="10"/>
  <c r="K28" i="10"/>
  <c r="L28" i="10"/>
  <c r="K29" i="10"/>
  <c r="L29" i="10"/>
  <c r="K30" i="10"/>
  <c r="L30" i="10"/>
  <c r="K31" i="10"/>
  <c r="L31" i="10"/>
  <c r="K34" i="10"/>
  <c r="L34" i="10"/>
  <c r="E4" i="10"/>
  <c r="F4" i="10"/>
  <c r="B4" i="10"/>
  <c r="C4" i="10"/>
  <c r="L33" i="10"/>
  <c r="K33" i="10"/>
  <c r="I8" i="3"/>
  <c r="F26" i="3"/>
  <c r="G35" i="3"/>
  <c r="F34" i="3"/>
  <c r="F11" i="3"/>
  <c r="G27" i="3"/>
  <c r="G28" i="3"/>
  <c r="I33" i="3" l="1"/>
  <c r="I22" i="3"/>
  <c r="I21" i="3"/>
  <c r="I37" i="3"/>
  <c r="I36" i="3"/>
  <c r="I35" i="3"/>
  <c r="I34" i="3"/>
  <c r="I32" i="3"/>
  <c r="I31" i="3"/>
  <c r="I30" i="3"/>
  <c r="I29" i="3"/>
  <c r="I28" i="3"/>
  <c r="I27" i="3"/>
  <c r="I26" i="3"/>
  <c r="I25" i="3"/>
  <c r="I24" i="3"/>
  <c r="I23" i="3"/>
  <c r="I20" i="3"/>
  <c r="I19" i="3"/>
  <c r="I18" i="3"/>
  <c r="I17" i="3"/>
  <c r="I16" i="3"/>
  <c r="I15" i="3"/>
  <c r="I14" i="3"/>
  <c r="I13" i="3"/>
  <c r="I12" i="3"/>
  <c r="I11" i="3"/>
  <c r="I10" i="3"/>
  <c r="I9" i="3"/>
  <c r="I7" i="3"/>
  <c r="A37" i="3"/>
  <c r="E37" i="3" s="1"/>
  <c r="A35" i="3"/>
  <c r="E35" i="3" s="1"/>
  <c r="A36" i="3"/>
  <c r="E36" i="3" s="1"/>
  <c r="A34" i="3"/>
  <c r="E34" i="3" s="1"/>
  <c r="A32" i="3"/>
  <c r="E32" i="3" s="1"/>
  <c r="A33" i="3"/>
  <c r="E33" i="3" s="1"/>
  <c r="A31" i="3"/>
  <c r="E31" i="3" s="1"/>
  <c r="A29" i="3"/>
  <c r="E29" i="3" s="1"/>
  <c r="A28" i="3"/>
  <c r="E28" i="3" s="1"/>
  <c r="A27" i="3"/>
  <c r="E27" i="3" s="1"/>
  <c r="A26" i="3"/>
  <c r="E26" i="3" s="1"/>
  <c r="B37" i="3"/>
  <c r="B35" i="3"/>
  <c r="B36" i="3"/>
  <c r="B34" i="3"/>
  <c r="B32" i="3"/>
  <c r="B33" i="3"/>
  <c r="B31" i="3"/>
  <c r="B29" i="3"/>
  <c r="B27" i="3"/>
  <c r="B28" i="3"/>
  <c r="B26" i="3"/>
  <c r="C37" i="3"/>
  <c r="C36" i="3"/>
  <c r="C35" i="3"/>
  <c r="C34" i="3"/>
  <c r="C33" i="3"/>
  <c r="C32" i="3"/>
  <c r="C31" i="3"/>
  <c r="C29" i="3"/>
  <c r="C28" i="3"/>
  <c r="C27" i="3"/>
  <c r="C26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30" i="3"/>
  <c r="E30" i="3" s="1"/>
  <c r="A7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30" i="3"/>
  <c r="C8" i="3"/>
  <c r="C7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30" i="3"/>
  <c r="B8" i="3"/>
  <c r="B7" i="3"/>
  <c r="E24" i="3" l="1"/>
  <c r="E25" i="3"/>
  <c r="E23" i="3"/>
  <c r="E18" i="3"/>
  <c r="E19" i="3"/>
  <c r="E20" i="3"/>
  <c r="E21" i="3"/>
  <c r="E22" i="3"/>
  <c r="E17" i="3"/>
  <c r="E9" i="3"/>
  <c r="E10" i="3"/>
  <c r="E11" i="3"/>
  <c r="E12" i="3"/>
  <c r="E13" i="3"/>
  <c r="E14" i="3"/>
  <c r="E15" i="3"/>
  <c r="E16" i="3"/>
  <c r="E8" i="3"/>
  <c r="E7" i="3"/>
  <c r="AI42" i="10"/>
  <c r="AG42" i="10"/>
  <c r="AI41" i="10"/>
  <c r="AG41" i="10"/>
  <c r="AO40" i="10"/>
  <c r="AK6" i="10"/>
  <c r="AK7" i="10"/>
  <c r="AK8" i="10"/>
  <c r="AK9" i="10"/>
  <c r="AK10" i="10"/>
  <c r="AK11" i="10"/>
  <c r="AK12" i="10"/>
  <c r="AK13" i="10"/>
  <c r="AK14" i="10"/>
  <c r="AK15" i="10"/>
  <c r="AK16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32" i="10"/>
  <c r="AK33" i="10"/>
  <c r="AK34" i="10"/>
  <c r="AK5" i="10"/>
  <c r="AK4" i="10"/>
  <c r="AG35" i="10"/>
  <c r="AG3" i="10"/>
  <c r="G33" i="3"/>
  <c r="F32" i="3"/>
  <c r="F23" i="3"/>
  <c r="G37" i="3"/>
  <c r="F36" i="3"/>
  <c r="F29" i="3"/>
  <c r="AH41" i="10" l="1"/>
  <c r="AF41" i="10"/>
  <c r="AI34" i="10"/>
  <c r="AI31" i="10"/>
  <c r="AL6" i="10"/>
  <c r="AL7" i="10"/>
  <c r="AL8" i="10"/>
  <c r="AL9" i="10"/>
  <c r="AL10" i="10"/>
  <c r="AL11" i="10"/>
  <c r="AL12" i="10"/>
  <c r="AL13" i="10"/>
  <c r="AL14" i="10"/>
  <c r="AL15" i="10"/>
  <c r="AL16" i="10"/>
  <c r="AL17" i="10"/>
  <c r="AL18" i="10"/>
  <c r="AL19" i="10"/>
  <c r="AL20" i="10"/>
  <c r="AL21" i="10"/>
  <c r="AL22" i="10"/>
  <c r="AL23" i="10"/>
  <c r="AL24" i="10"/>
  <c r="AL25" i="10"/>
  <c r="AL26" i="10"/>
  <c r="AL27" i="10"/>
  <c r="AL28" i="10"/>
  <c r="AL29" i="10"/>
  <c r="AL30" i="10"/>
  <c r="AL31" i="10"/>
  <c r="AL32" i="10"/>
  <c r="AL33" i="10"/>
  <c r="AL34" i="10"/>
  <c r="AL5" i="10"/>
  <c r="AL4" i="10"/>
  <c r="G31" i="3"/>
  <c r="G30" i="3"/>
  <c r="G25" i="3"/>
  <c r="G24" i="3"/>
  <c r="AI33" i="10" l="1"/>
  <c r="AI32" i="10"/>
  <c r="AI30" i="10"/>
  <c r="AO8" i="10" l="1"/>
  <c r="AO7" i="10"/>
  <c r="AO6" i="10"/>
  <c r="AF37" i="10"/>
  <c r="AF36" i="10"/>
  <c r="AK35" i="10"/>
  <c r="AF35" i="10"/>
  <c r="AE35" i="10"/>
  <c r="AD35" i="10"/>
  <c r="AC35" i="10"/>
  <c r="AB35" i="10"/>
  <c r="AO34" i="10"/>
  <c r="AA34" i="10"/>
  <c r="AH34" i="10" s="1"/>
  <c r="P34" i="10"/>
  <c r="W34" i="10" s="1"/>
  <c r="N34" i="10"/>
  <c r="O34" i="10" s="1"/>
  <c r="V34" i="10" s="1"/>
  <c r="AO33" i="10"/>
  <c r="AA33" i="10"/>
  <c r="AH33" i="10" s="1"/>
  <c r="AJ33" i="10" s="1"/>
  <c r="P33" i="10"/>
  <c r="N33" i="10"/>
  <c r="O33" i="10" s="1"/>
  <c r="V33" i="10" s="1"/>
  <c r="AO32" i="10"/>
  <c r="AA32" i="10"/>
  <c r="AH32" i="10" s="1"/>
  <c r="P32" i="10"/>
  <c r="N32" i="10"/>
  <c r="O32" i="10" s="1"/>
  <c r="V32" i="10" s="1"/>
  <c r="AO31" i="10"/>
  <c r="AA31" i="10"/>
  <c r="AH31" i="10" s="1"/>
  <c r="AJ31" i="10" s="1"/>
  <c r="P31" i="10"/>
  <c r="W31" i="10" s="1"/>
  <c r="N31" i="10"/>
  <c r="U31" i="10" s="1"/>
  <c r="AO30" i="10"/>
  <c r="AA30" i="10"/>
  <c r="AH30" i="10" s="1"/>
  <c r="AJ30" i="10" s="1"/>
  <c r="P30" i="10"/>
  <c r="W30" i="10" s="1"/>
  <c r="N30" i="10"/>
  <c r="Y30" i="10" s="1"/>
  <c r="AO29" i="10"/>
  <c r="AI29" i="10"/>
  <c r="AA29" i="10"/>
  <c r="AH29" i="10" s="1"/>
  <c r="P29" i="10"/>
  <c r="W29" i="10" s="1"/>
  <c r="AO28" i="10"/>
  <c r="AI28" i="10"/>
  <c r="AA28" i="10"/>
  <c r="AH28" i="10" s="1"/>
  <c r="P28" i="10"/>
  <c r="AO27" i="10"/>
  <c r="AI27" i="10"/>
  <c r="AA27" i="10"/>
  <c r="AH27" i="10" s="1"/>
  <c r="P27" i="10"/>
  <c r="W27" i="10" s="1"/>
  <c r="AO26" i="10"/>
  <c r="AI26" i="10"/>
  <c r="AA26" i="10"/>
  <c r="AH26" i="10" s="1"/>
  <c r="P26" i="10"/>
  <c r="W26" i="10" s="1"/>
  <c r="AO25" i="10"/>
  <c r="AI25" i="10"/>
  <c r="AA25" i="10"/>
  <c r="AH25" i="10" s="1"/>
  <c r="P25" i="10"/>
  <c r="W25" i="10" s="1"/>
  <c r="AO24" i="10"/>
  <c r="AI24" i="10"/>
  <c r="AA24" i="10"/>
  <c r="AH24" i="10" s="1"/>
  <c r="P24" i="10"/>
  <c r="AO23" i="10"/>
  <c r="AI23" i="10"/>
  <c r="AA23" i="10"/>
  <c r="AH23" i="10" s="1"/>
  <c r="P23" i="10"/>
  <c r="W23" i="10" s="1"/>
  <c r="AO22" i="10"/>
  <c r="AI22" i="10"/>
  <c r="AA22" i="10"/>
  <c r="AH22" i="10" s="1"/>
  <c r="P22" i="10"/>
  <c r="W22" i="10" s="1"/>
  <c r="AO21" i="10"/>
  <c r="AI21" i="10"/>
  <c r="AA21" i="10"/>
  <c r="AH21" i="10" s="1"/>
  <c r="P21" i="10"/>
  <c r="W21" i="10" s="1"/>
  <c r="AO20" i="10"/>
  <c r="AI20" i="10"/>
  <c r="AA20" i="10"/>
  <c r="AH20" i="10" s="1"/>
  <c r="P20" i="10"/>
  <c r="AO19" i="10"/>
  <c r="AI19" i="10"/>
  <c r="AA19" i="10"/>
  <c r="AH19" i="10" s="1"/>
  <c r="P19" i="10"/>
  <c r="W19" i="10" s="1"/>
  <c r="AO18" i="10"/>
  <c r="AI18" i="10"/>
  <c r="AA18" i="10"/>
  <c r="AH18" i="10" s="1"/>
  <c r="P18" i="10"/>
  <c r="AO17" i="10"/>
  <c r="AI17" i="10"/>
  <c r="AA17" i="10"/>
  <c r="AH17" i="10" s="1"/>
  <c r="P17" i="10"/>
  <c r="W17" i="10" s="1"/>
  <c r="AO16" i="10"/>
  <c r="AI16" i="10"/>
  <c r="AA16" i="10"/>
  <c r="AH16" i="10" s="1"/>
  <c r="P16" i="10"/>
  <c r="AO15" i="10"/>
  <c r="AI15" i="10"/>
  <c r="AA15" i="10"/>
  <c r="AH15" i="10" s="1"/>
  <c r="P15" i="10"/>
  <c r="W15" i="10" s="1"/>
  <c r="AO14" i="10"/>
  <c r="AI14" i="10"/>
  <c r="AA14" i="10"/>
  <c r="AH14" i="10" s="1"/>
  <c r="P14" i="10"/>
  <c r="W14" i="10" s="1"/>
  <c r="AO13" i="10"/>
  <c r="AI13" i="10"/>
  <c r="AA13" i="10"/>
  <c r="AH13" i="10" s="1"/>
  <c r="P13" i="10"/>
  <c r="W13" i="10" s="1"/>
  <c r="N13" i="10"/>
  <c r="O13" i="10" s="1"/>
  <c r="AO12" i="10"/>
  <c r="AI12" i="10"/>
  <c r="AA12" i="10"/>
  <c r="AH12" i="10" s="1"/>
  <c r="P12" i="10"/>
  <c r="AO11" i="10"/>
  <c r="AI11" i="10"/>
  <c r="AA11" i="10"/>
  <c r="AH11" i="10" s="1"/>
  <c r="P11" i="10"/>
  <c r="W11" i="10" s="1"/>
  <c r="AO10" i="10"/>
  <c r="AI10" i="10"/>
  <c r="AA10" i="10"/>
  <c r="AH10" i="10" s="1"/>
  <c r="P10" i="10"/>
  <c r="W10" i="10" s="1"/>
  <c r="AO9" i="10"/>
  <c r="AI9" i="10"/>
  <c r="AA9" i="10"/>
  <c r="AH9" i="10" s="1"/>
  <c r="P9" i="10"/>
  <c r="W9" i="10" s="1"/>
  <c r="N9" i="10"/>
  <c r="O9" i="10" s="1"/>
  <c r="AI8" i="10"/>
  <c r="AA8" i="10"/>
  <c r="AH8" i="10" s="1"/>
  <c r="P8" i="10"/>
  <c r="AI7" i="10"/>
  <c r="AA7" i="10"/>
  <c r="AH7" i="10" s="1"/>
  <c r="P7" i="10"/>
  <c r="W7" i="10" s="1"/>
  <c r="AI6" i="10"/>
  <c r="AA6" i="10"/>
  <c r="AH6" i="10" s="1"/>
  <c r="P6" i="10"/>
  <c r="W6" i="10" s="1"/>
  <c r="N6" i="10"/>
  <c r="O6" i="10" s="1"/>
  <c r="AO5" i="10"/>
  <c r="AI5" i="10"/>
  <c r="AA5" i="10"/>
  <c r="AH5" i="10" s="1"/>
  <c r="P5" i="10"/>
  <c r="W5" i="10" s="1"/>
  <c r="AO4" i="10"/>
  <c r="AI4" i="10"/>
  <c r="AA4" i="10"/>
  <c r="AH4" i="10" s="1"/>
  <c r="P4" i="10"/>
  <c r="AF3" i="10"/>
  <c r="AE3" i="10"/>
  <c r="F10" i="3"/>
  <c r="F7" i="3"/>
  <c r="F8" i="3"/>
  <c r="AJ25" i="10" l="1"/>
  <c r="AJ27" i="10"/>
  <c r="AJ10" i="10"/>
  <c r="AJ7" i="10"/>
  <c r="AJ17" i="10"/>
  <c r="AJ19" i="10"/>
  <c r="AJ6" i="10"/>
  <c r="N10" i="10"/>
  <c r="O10" i="10" s="1"/>
  <c r="V10" i="10" s="1"/>
  <c r="N11" i="10"/>
  <c r="U11" i="10" s="1"/>
  <c r="N17" i="10"/>
  <c r="O17" i="10" s="1"/>
  <c r="V17" i="10" s="1"/>
  <c r="Q33" i="10"/>
  <c r="AM10" i="10"/>
  <c r="AN10" i="10" s="1"/>
  <c r="AM17" i="10"/>
  <c r="AN17" i="10" s="1"/>
  <c r="AM19" i="10"/>
  <c r="AN19" i="10" s="1"/>
  <c r="AM21" i="10"/>
  <c r="AN21" i="10" s="1"/>
  <c r="AM27" i="10"/>
  <c r="AN27" i="10" s="1"/>
  <c r="W33" i="10"/>
  <c r="AM12" i="10"/>
  <c r="AN12" i="10" s="1"/>
  <c r="AM28" i="10"/>
  <c r="AN28" i="10" s="1"/>
  <c r="AM29" i="10"/>
  <c r="AN29" i="10" s="1"/>
  <c r="AP29" i="10"/>
  <c r="AM30" i="10"/>
  <c r="AN30" i="10" s="1"/>
  <c r="AM14" i="10"/>
  <c r="AN14" i="10" s="1"/>
  <c r="AJ22" i="10"/>
  <c r="AJ23" i="10"/>
  <c r="Z30" i="10"/>
  <c r="Y31" i="10"/>
  <c r="AM33" i="10"/>
  <c r="AN33" i="10" s="1"/>
  <c r="AP33" i="10"/>
  <c r="AM5" i="10"/>
  <c r="AN5" i="10" s="1"/>
  <c r="AM9" i="10"/>
  <c r="AN9" i="10" s="1"/>
  <c r="AM16" i="10"/>
  <c r="AN16" i="10" s="1"/>
  <c r="AM24" i="10"/>
  <c r="AN24" i="10" s="1"/>
  <c r="AM32" i="10"/>
  <c r="AN32" i="10" s="1"/>
  <c r="AP32" i="10"/>
  <c r="AM18" i="10"/>
  <c r="AN18" i="10" s="1"/>
  <c r="AM20" i="10"/>
  <c r="AN20" i="10" s="1"/>
  <c r="AM23" i="10"/>
  <c r="AN23" i="10" s="1"/>
  <c r="AP23" i="10"/>
  <c r="O30" i="10"/>
  <c r="V30" i="10" s="1"/>
  <c r="Y33" i="10"/>
  <c r="AM11" i="10"/>
  <c r="AN11" i="10" s="1"/>
  <c r="AM25" i="10"/>
  <c r="AN25" i="10" s="1"/>
  <c r="AM6" i="10"/>
  <c r="AN6" i="10" s="1"/>
  <c r="AM13" i="10"/>
  <c r="AN13" i="10" s="1"/>
  <c r="AP13" i="10"/>
  <c r="AM15" i="10"/>
  <c r="AN15" i="10" s="1"/>
  <c r="AM26" i="10"/>
  <c r="AN26" i="10" s="1"/>
  <c r="U30" i="10"/>
  <c r="AM34" i="10"/>
  <c r="AN34" i="10" s="1"/>
  <c r="AM7" i="10"/>
  <c r="AN7" i="10" s="1"/>
  <c r="AM4" i="10"/>
  <c r="AN4" i="10" s="1"/>
  <c r="AJ29" i="10"/>
  <c r="AM31" i="10"/>
  <c r="AN31" i="10" s="1"/>
  <c r="AM8" i="10"/>
  <c r="AN8" i="10" s="1"/>
  <c r="AO35" i="10"/>
  <c r="AM22" i="10"/>
  <c r="U32" i="10"/>
  <c r="U34" i="10"/>
  <c r="Q32" i="10"/>
  <c r="Y34" i="10"/>
  <c r="Z32" i="10"/>
  <c r="Y32" i="10"/>
  <c r="Z34" i="10"/>
  <c r="AJ34" i="10"/>
  <c r="AJ32" i="10"/>
  <c r="X34" i="10"/>
  <c r="Z31" i="10"/>
  <c r="Z33" i="10"/>
  <c r="N29" i="10"/>
  <c r="O29" i="10" s="1"/>
  <c r="V29" i="10" s="1"/>
  <c r="N28" i="10"/>
  <c r="Z28" i="10" s="1"/>
  <c r="AJ28" i="10"/>
  <c r="N27" i="10"/>
  <c r="AJ26" i="10"/>
  <c r="N26" i="10"/>
  <c r="Z26" i="10" s="1"/>
  <c r="N25" i="10"/>
  <c r="O25" i="10" s="1"/>
  <c r="V25" i="10" s="1"/>
  <c r="N24" i="10"/>
  <c r="Z24" i="10" s="1"/>
  <c r="K35" i="10"/>
  <c r="AJ24" i="10"/>
  <c r="AH36" i="10"/>
  <c r="L35" i="10"/>
  <c r="H35" i="10"/>
  <c r="N23" i="10"/>
  <c r="U23" i="10" s="1"/>
  <c r="V13" i="10"/>
  <c r="R35" i="10"/>
  <c r="AJ13" i="10"/>
  <c r="AJ18" i="10"/>
  <c r="N21" i="10"/>
  <c r="O21" i="10" s="1"/>
  <c r="V21" i="10" s="1"/>
  <c r="AJ15" i="10"/>
  <c r="AJ14" i="10"/>
  <c r="N18" i="10"/>
  <c r="O18" i="10" s="1"/>
  <c r="V18" i="10" s="1"/>
  <c r="AJ21" i="10"/>
  <c r="N16" i="10"/>
  <c r="Z16" i="10" s="1"/>
  <c r="N20" i="10"/>
  <c r="Z20" i="10" s="1"/>
  <c r="N22" i="10"/>
  <c r="U22" i="10" s="1"/>
  <c r="N15" i="10"/>
  <c r="O15" i="10" s="1"/>
  <c r="V15" i="10" s="1"/>
  <c r="N12" i="10"/>
  <c r="U12" i="10" s="1"/>
  <c r="Z13" i="10"/>
  <c r="N14" i="10"/>
  <c r="U14" i="10" s="1"/>
  <c r="AJ20" i="10"/>
  <c r="B35" i="10"/>
  <c r="AJ16" i="10"/>
  <c r="Y13" i="10"/>
  <c r="AJ12" i="10"/>
  <c r="Q13" i="10"/>
  <c r="N19" i="10"/>
  <c r="O19" i="10" s="1"/>
  <c r="V19" i="10" s="1"/>
  <c r="V6" i="10"/>
  <c r="S35" i="10"/>
  <c r="V9" i="10"/>
  <c r="AJ5" i="10"/>
  <c r="AJ11" i="10"/>
  <c r="AJ9" i="10"/>
  <c r="I35" i="10"/>
  <c r="AL35" i="10"/>
  <c r="N4" i="10"/>
  <c r="Z9" i="10"/>
  <c r="N8" i="10"/>
  <c r="U8" i="10" s="1"/>
  <c r="P35" i="10"/>
  <c r="Z6" i="10"/>
  <c r="Y9" i="10"/>
  <c r="Z10" i="10"/>
  <c r="U6" i="10"/>
  <c r="AJ8" i="10"/>
  <c r="Y10" i="10"/>
  <c r="AJ4" i="10"/>
  <c r="Y6" i="10"/>
  <c r="N5" i="10"/>
  <c r="Z5" i="10" s="1"/>
  <c r="Q9" i="10"/>
  <c r="N7" i="10"/>
  <c r="O7" i="10" s="1"/>
  <c r="AH35" i="10"/>
  <c r="O31" i="10"/>
  <c r="Q34" i="10"/>
  <c r="AA35" i="10"/>
  <c r="W4" i="10"/>
  <c r="W8" i="10"/>
  <c r="U9" i="10"/>
  <c r="W12" i="10"/>
  <c r="U13" i="10"/>
  <c r="W16" i="10"/>
  <c r="W20" i="10"/>
  <c r="W24" i="10"/>
  <c r="W28" i="10"/>
  <c r="W32" i="10"/>
  <c r="U33" i="10"/>
  <c r="E35" i="10"/>
  <c r="Q6" i="10"/>
  <c r="W18" i="10"/>
  <c r="AI35" i="10"/>
  <c r="F13" i="3"/>
  <c r="F14" i="3"/>
  <c r="F12" i="3"/>
  <c r="Z17" i="10" l="1"/>
  <c r="U10" i="10"/>
  <c r="Y8" i="10"/>
  <c r="AP8" i="10"/>
  <c r="AP16" i="10"/>
  <c r="AP31" i="10"/>
  <c r="AP6" i="10"/>
  <c r="AP34" i="10"/>
  <c r="AP18" i="10"/>
  <c r="AP30" i="10"/>
  <c r="AP21" i="10"/>
  <c r="Q10" i="10"/>
  <c r="O11" i="10"/>
  <c r="V11" i="10" s="1"/>
  <c r="X11" i="10" s="1"/>
  <c r="X10" i="10"/>
  <c r="X33" i="10"/>
  <c r="X9" i="10"/>
  <c r="Y18" i="10"/>
  <c r="U18" i="10"/>
  <c r="X18" i="10" s="1"/>
  <c r="U17" i="10"/>
  <c r="X17" i="10" s="1"/>
  <c r="Q18" i="10"/>
  <c r="AP26" i="10"/>
  <c r="AP25" i="10"/>
  <c r="AP9" i="10"/>
  <c r="AP28" i="10"/>
  <c r="AP4" i="10"/>
  <c r="AP15" i="10"/>
  <c r="AP11" i="10"/>
  <c r="AP5" i="10"/>
  <c r="AP14" i="10"/>
  <c r="AP12" i="10"/>
  <c r="X30" i="10"/>
  <c r="X13" i="10"/>
  <c r="Q30" i="10"/>
  <c r="Z11" i="10"/>
  <c r="Y17" i="10"/>
  <c r="Y11" i="10"/>
  <c r="Z18" i="10"/>
  <c r="Q17" i="10"/>
  <c r="U20" i="10"/>
  <c r="Y20" i="10"/>
  <c r="O20" i="10"/>
  <c r="Y21" i="10"/>
  <c r="U21" i="10"/>
  <c r="X21" i="10" s="1"/>
  <c r="Q21" i="10"/>
  <c r="AP20" i="10"/>
  <c r="Y15" i="10"/>
  <c r="AP7" i="10"/>
  <c r="AP19" i="10"/>
  <c r="Z21" i="10"/>
  <c r="AP17" i="10"/>
  <c r="V7" i="10"/>
  <c r="AP24" i="10"/>
  <c r="AP27" i="10"/>
  <c r="AP10" i="10"/>
  <c r="Z22" i="10"/>
  <c r="Y22" i="10"/>
  <c r="AN22" i="10"/>
  <c r="AN35" i="10" s="1"/>
  <c r="AM35" i="10"/>
  <c r="X32" i="10"/>
  <c r="V31" i="10"/>
  <c r="X31" i="10" s="1"/>
  <c r="Q31" i="10"/>
  <c r="Z29" i="10"/>
  <c r="U29" i="10"/>
  <c r="X29" i="10" s="1"/>
  <c r="Y29" i="10"/>
  <c r="Q29" i="10"/>
  <c r="O28" i="10"/>
  <c r="V28" i="10" s="1"/>
  <c r="U28" i="10"/>
  <c r="Y28" i="10"/>
  <c r="U27" i="10"/>
  <c r="Z27" i="10"/>
  <c r="O27" i="10"/>
  <c r="V27" i="10" s="1"/>
  <c r="Y27" i="10"/>
  <c r="Y26" i="10"/>
  <c r="O26" i="10"/>
  <c r="V26" i="10" s="1"/>
  <c r="U26" i="10"/>
  <c r="Z25" i="10"/>
  <c r="U25" i="10"/>
  <c r="X25" i="10" s="1"/>
  <c r="Y25" i="10"/>
  <c r="Q25" i="10"/>
  <c r="O24" i="10"/>
  <c r="V24" i="10" s="1"/>
  <c r="U24" i="10"/>
  <c r="Y24" i="10"/>
  <c r="Z23" i="10"/>
  <c r="O23" i="10"/>
  <c r="V23" i="10" s="1"/>
  <c r="X23" i="10" s="1"/>
  <c r="N35" i="10"/>
  <c r="Y35" i="10" s="1"/>
  <c r="C35" i="10"/>
  <c r="Y23" i="10"/>
  <c r="Z12" i="10"/>
  <c r="U15" i="10"/>
  <c r="X15" i="10" s="1"/>
  <c r="Y16" i="10"/>
  <c r="Y12" i="10"/>
  <c r="O16" i="10"/>
  <c r="V16" i="10" s="1"/>
  <c r="Q15" i="10"/>
  <c r="O22" i="10"/>
  <c r="O12" i="10"/>
  <c r="V12" i="10" s="1"/>
  <c r="X12" i="10" s="1"/>
  <c r="U16" i="10"/>
  <c r="Z15" i="10"/>
  <c r="O14" i="10"/>
  <c r="V14" i="10" s="1"/>
  <c r="X14" i="10" s="1"/>
  <c r="Y14" i="10"/>
  <c r="Z14" i="10"/>
  <c r="Z19" i="10"/>
  <c r="U19" i="10"/>
  <c r="X19" i="10" s="1"/>
  <c r="Q19" i="10"/>
  <c r="Y19" i="10"/>
  <c r="X6" i="10"/>
  <c r="U7" i="10"/>
  <c r="F35" i="10"/>
  <c r="O4" i="10"/>
  <c r="V4" i="10" s="1"/>
  <c r="Z7" i="10"/>
  <c r="O8" i="10"/>
  <c r="V8" i="10" s="1"/>
  <c r="X8" i="10" s="1"/>
  <c r="Z8" i="10"/>
  <c r="U4" i="10"/>
  <c r="Y4" i="10"/>
  <c r="Z4" i="10"/>
  <c r="O5" i="10"/>
  <c r="V5" i="10" s="1"/>
  <c r="Y7" i="10"/>
  <c r="AJ35" i="10"/>
  <c r="Y5" i="10"/>
  <c r="U5" i="10"/>
  <c r="W35" i="10"/>
  <c r="F9" i="3"/>
  <c r="Q11" i="10" l="1"/>
  <c r="Q28" i="10"/>
  <c r="X26" i="10"/>
  <c r="Q7" i="10"/>
  <c r="X16" i="10"/>
  <c r="Q16" i="10"/>
  <c r="V20" i="10"/>
  <c r="X20" i="10" s="1"/>
  <c r="Q20" i="10"/>
  <c r="Q12" i="10"/>
  <c r="X7" i="10"/>
  <c r="Q27" i="10"/>
  <c r="Q23" i="10"/>
  <c r="AP22" i="10"/>
  <c r="AP35" i="10" s="1"/>
  <c r="X28" i="10"/>
  <c r="X27" i="10"/>
  <c r="Q26" i="10"/>
  <c r="X24" i="10"/>
  <c r="Q24" i="10"/>
  <c r="Z35" i="10"/>
  <c r="Q14" i="10"/>
  <c r="V22" i="10"/>
  <c r="X22" i="10" s="1"/>
  <c r="Q22" i="10"/>
  <c r="O35" i="10"/>
  <c r="Q5" i="10"/>
  <c r="Q4" i="10"/>
  <c r="X4" i="10"/>
  <c r="Q8" i="10"/>
  <c r="U35" i="10"/>
  <c r="X5" i="10"/>
  <c r="G15" i="3"/>
  <c r="V35" i="10" l="1"/>
  <c r="X35" i="10"/>
  <c r="Q35" i="10"/>
  <c r="G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邱 雅雯</author>
  </authors>
  <commentList>
    <comment ref="F26" authorId="0" shapeId="0" xr:uid="{BCE1BB29-5D70-4DCF-9D6B-8BA48CF68A73}">
      <text>
        <r>
          <rPr>
            <b/>
            <sz val="9"/>
            <color indexed="81"/>
            <rFont val="細明體"/>
            <family val="3"/>
            <charset val="136"/>
          </rPr>
          <t>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細明體"/>
            <family val="3"/>
            <charset val="136"/>
          </rPr>
          <t>雅雯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應該不可能有多錢，有多會退給客人才對</t>
        </r>
      </text>
    </comment>
    <comment ref="F34" authorId="0" shapeId="0" xr:uid="{A86D2CC0-9F05-4124-955F-9F4739ABC65E}">
      <text>
        <r>
          <rPr>
            <b/>
            <sz val="9"/>
            <color indexed="81"/>
            <rFont val="細明體"/>
            <family val="3"/>
            <charset val="136"/>
          </rPr>
          <t>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細明體"/>
            <family val="3"/>
            <charset val="136"/>
          </rPr>
          <t>雅雯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1.</t>
        </r>
        <r>
          <rPr>
            <sz val="9"/>
            <color indexed="81"/>
            <rFont val="細明體"/>
            <family val="3"/>
            <charset val="136"/>
          </rPr>
          <t>發票未收回，取消作廢時
2.沒刷到卡，但發票開出了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黃 暐涵</author>
  </authors>
  <commentList>
    <comment ref="AK2" authorId="0" shapeId="0" xr:uid="{63A435E4-1883-4317-A0BC-07959D643CE5}">
      <text>
        <r>
          <rPr>
            <b/>
            <sz val="9"/>
            <color indexed="81"/>
            <rFont val="細明體"/>
            <family val="3"/>
            <charset val="136"/>
          </rPr>
          <t>黃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細明體"/>
            <family val="3"/>
            <charset val="136"/>
          </rPr>
          <t>暐涵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與熊貓對帳單相符</t>
        </r>
      </text>
    </comment>
    <comment ref="AO3" authorId="0" shapeId="0" xr:uid="{483C510A-31CC-4214-931A-4584B1A3C58B}">
      <text>
        <r>
          <rPr>
            <b/>
            <sz val="9"/>
            <color indexed="81"/>
            <rFont val="細明體"/>
            <family val="3"/>
            <charset val="136"/>
          </rPr>
          <t>黃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細明體"/>
            <family val="3"/>
            <charset val="136"/>
          </rPr>
          <t>暐涵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漏開外送發票</t>
        </r>
        <r>
          <rPr>
            <sz val="9"/>
            <color indexed="81"/>
            <rFont val="Tahoma"/>
            <family val="2"/>
          </rPr>
          <t>or</t>
        </r>
        <r>
          <rPr>
            <sz val="9"/>
            <color indexed="81"/>
            <rFont val="細明體"/>
            <family val="3"/>
            <charset val="136"/>
          </rPr>
          <t xml:space="preserve">塑膠袋合計
</t>
        </r>
      </text>
    </comment>
    <comment ref="AL6" authorId="0" shapeId="0" xr:uid="{A8EF9014-B77B-475A-B663-C921CECA05B1}">
      <text>
        <r>
          <rPr>
            <b/>
            <sz val="9"/>
            <color indexed="81"/>
            <rFont val="細明體"/>
            <family val="3"/>
            <charset val="136"/>
          </rPr>
          <t>黃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細明體"/>
            <family val="3"/>
            <charset val="136"/>
          </rPr>
          <t>暐涵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須補開立塑膠袋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細明體"/>
            <family val="3"/>
            <charset val="136"/>
          </rPr>
          <t>筆合計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細明體"/>
            <family val="3"/>
            <charset val="136"/>
          </rPr>
          <t>元發票</t>
        </r>
      </text>
    </comment>
    <comment ref="AL7" authorId="0" shapeId="0" xr:uid="{36DF89B8-2EA7-435C-BC9A-754321C77C7F}">
      <text>
        <r>
          <rPr>
            <b/>
            <sz val="9"/>
            <color indexed="81"/>
            <rFont val="細明體"/>
            <family val="3"/>
            <charset val="136"/>
          </rPr>
          <t>黃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細明體"/>
            <family val="3"/>
            <charset val="136"/>
          </rPr>
          <t>暐涵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須補開立塑膠袋</t>
        </r>
        <r>
          <rPr>
            <sz val="9"/>
            <color indexed="81"/>
            <rFont val="Tahoma"/>
            <family val="2"/>
          </rPr>
          <t>7</t>
        </r>
        <r>
          <rPr>
            <sz val="9"/>
            <color indexed="81"/>
            <rFont val="細明體"/>
            <family val="3"/>
            <charset val="136"/>
          </rPr>
          <t>筆合計</t>
        </r>
        <r>
          <rPr>
            <sz val="9"/>
            <color indexed="81"/>
            <rFont val="Tahoma"/>
            <family val="2"/>
          </rPr>
          <t>14</t>
        </r>
        <r>
          <rPr>
            <sz val="9"/>
            <color indexed="81"/>
            <rFont val="細明體"/>
            <family val="3"/>
            <charset val="136"/>
          </rPr>
          <t>元發票</t>
        </r>
      </text>
    </comment>
    <comment ref="AL8" authorId="0" shapeId="0" xr:uid="{730071B9-EF38-41A0-B3FB-9BBE4CB9FE8E}">
      <text>
        <r>
          <rPr>
            <b/>
            <sz val="9"/>
            <color indexed="81"/>
            <rFont val="細明體"/>
            <family val="3"/>
            <charset val="136"/>
          </rPr>
          <t>黃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細明體"/>
            <family val="3"/>
            <charset val="136"/>
          </rPr>
          <t>暐涵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須補開立塑膠袋6筆合計12元發票</t>
        </r>
      </text>
    </comment>
  </commentList>
</comments>
</file>

<file path=xl/sharedStrings.xml><?xml version="1.0" encoding="utf-8"?>
<sst xmlns="http://schemas.openxmlformats.org/spreadsheetml/2006/main" count="186" uniqueCount="129">
  <si>
    <t>営業日</t>
    <phoneticPr fontId="8" type="noConversion"/>
  </si>
  <si>
    <t>売上高（台湾元）</t>
    <phoneticPr fontId="8" type="noConversion"/>
  </si>
  <si>
    <t>現金クレカの割合</t>
    <phoneticPr fontId="8" type="noConversion"/>
  </si>
  <si>
    <t>現金回収の詳細</t>
    <phoneticPr fontId="8" type="noConversion"/>
  </si>
  <si>
    <t>①現金</t>
    <phoneticPr fontId="8" type="noConversion"/>
  </si>
  <si>
    <t>②クレジットカード</t>
    <phoneticPr fontId="8" type="noConversion"/>
  </si>
  <si>
    <t>現金売上高</t>
    <phoneticPr fontId="8" type="noConversion"/>
  </si>
  <si>
    <t>釣銭補充</t>
    <phoneticPr fontId="8" type="noConversion"/>
  </si>
  <si>
    <t>ガチャガチャ売上(100%)</t>
    <phoneticPr fontId="8" type="noConversion"/>
  </si>
  <si>
    <t>一次的な調整</t>
    <phoneticPr fontId="8" type="noConversion"/>
  </si>
  <si>
    <t>現金過剰または（不足）</t>
  </si>
  <si>
    <t>合計</t>
    <phoneticPr fontId="8" type="noConversion"/>
  </si>
  <si>
    <t>税抜売上
A</t>
  </si>
  <si>
    <t>営業税
B</t>
  </si>
  <si>
    <t>税込売上
C=A+B</t>
  </si>
  <si>
    <t>税抜売上
D</t>
  </si>
  <si>
    <t>営業税
E</t>
  </si>
  <si>
    <t>税込売上
F=D+E</t>
  </si>
  <si>
    <t>CHECK</t>
    <phoneticPr fontId="8" type="noConversion"/>
  </si>
  <si>
    <t>現金</t>
    <phoneticPr fontId="8" type="noConversion"/>
  </si>
  <si>
    <t>クレジットカード</t>
    <phoneticPr fontId="8" type="noConversion"/>
  </si>
  <si>
    <t>70%預り金
（ベンダー）</t>
    <phoneticPr fontId="8" type="noConversion"/>
  </si>
  <si>
    <t>30％売上
（台湾スシロー）</t>
    <phoneticPr fontId="8" type="noConversion"/>
  </si>
  <si>
    <t>Header</t>
  </si>
  <si>
    <t>H</t>
  </si>
  <si>
    <t>D</t>
  </si>
  <si>
    <t>1つの伝票にまとめる単位で同じ値を設定</t>
    <rPh sb="3" eb="5">
      <t>デンピョウ</t>
    </rPh>
    <rPh sb="10" eb="12">
      <t>タンイ</t>
    </rPh>
    <rPh sb="13" eb="14">
      <t>オナ</t>
    </rPh>
    <rPh sb="15" eb="16">
      <t>アタイ</t>
    </rPh>
    <rPh sb="17" eb="19">
      <t>セッテイ</t>
    </rPh>
    <phoneticPr fontId="15"/>
  </si>
  <si>
    <t>取引を計上する日付を設定</t>
    <rPh sb="10" eb="12">
      <t>セッテイ</t>
    </rPh>
    <phoneticPr fontId="15"/>
  </si>
  <si>
    <t>伝票摘要を設定</t>
    <rPh sb="5" eb="7">
      <t>セッテイ</t>
    </rPh>
    <phoneticPr fontId="15"/>
  </si>
  <si>
    <t>勘定科目を設定</t>
  </si>
  <si>
    <t>部門を設定
設定の要否は勘定科目マスタ依存</t>
    <rPh sb="0" eb="2">
      <t>ブモン</t>
    </rPh>
    <rPh sb="3" eb="5">
      <t>セッテイ</t>
    </rPh>
    <phoneticPr fontId="15"/>
  </si>
  <si>
    <t>取引通貨に金額を設定</t>
    <rPh sb="0" eb="2">
      <t>トリヒキ</t>
    </rPh>
    <rPh sb="2" eb="4">
      <t>ツウカ</t>
    </rPh>
    <rPh sb="5" eb="7">
      <t>キンガク</t>
    </rPh>
    <rPh sb="8" eb="10">
      <t>セッテイ</t>
    </rPh>
    <phoneticPr fontId="15"/>
  </si>
  <si>
    <t>税コードを設定</t>
    <rPh sb="0" eb="1">
      <t>ゼイ</t>
    </rPh>
    <rPh sb="5" eb="7">
      <t>セッテイ</t>
    </rPh>
    <phoneticPr fontId="15"/>
  </si>
  <si>
    <t>明細摘要を設定</t>
    <rPh sb="0" eb="2">
      <t>メイサイ</t>
    </rPh>
    <rPh sb="2" eb="4">
      <t>テキヨウ</t>
    </rPh>
    <rPh sb="5" eb="7">
      <t>セッテイ</t>
    </rPh>
    <phoneticPr fontId="15"/>
  </si>
  <si>
    <t>必須</t>
  </si>
  <si>
    <t>借方か貸方いづれか必須</t>
    <rPh sb="0" eb="2">
      <t xml:space="preserve">カリカタ </t>
    </rPh>
    <rPh sb="3" eb="5">
      <t xml:space="preserve">カシカタ </t>
    </rPh>
    <phoneticPr fontId="15"/>
  </si>
  <si>
    <t>1伝票につき明細数は
1000件まで登録可能です</t>
    <rPh sb="1" eb="3">
      <t>デンピョウ</t>
    </rPh>
    <rPh sb="6" eb="8">
      <t>メイサイ</t>
    </rPh>
    <rPh sb="8" eb="9">
      <t>スウ</t>
    </rPh>
    <rPh sb="15" eb="16">
      <t>ケン</t>
    </rPh>
    <rPh sb="18" eb="20">
      <t>トウロク</t>
    </rPh>
    <rPh sb="20" eb="22">
      <t>カノウ</t>
    </rPh>
    <phoneticPr fontId="15"/>
  </si>
  <si>
    <t>「YYYY-MM-DD」
の形式で入力して下さい</t>
  </si>
  <si>
    <t>13,4</t>
  </si>
  <si>
    <t>伝票単位</t>
    <rPh sb="0" eb="2">
      <t>デンピョウ</t>
    </rPh>
    <rPh sb="2" eb="4">
      <t>タンイ</t>
    </rPh>
    <phoneticPr fontId="15"/>
  </si>
  <si>
    <t>計上日</t>
    <rPh sb="0" eb="2">
      <t>ケイジョウ</t>
    </rPh>
    <rPh sb="2" eb="3">
      <t>ビ</t>
    </rPh>
    <phoneticPr fontId="15"/>
  </si>
  <si>
    <t>伝票摘要</t>
    <rPh sb="0" eb="2">
      <t>デンピョウ</t>
    </rPh>
    <rPh sb="2" eb="4">
      <t>テキヨウ</t>
    </rPh>
    <phoneticPr fontId="15"/>
  </si>
  <si>
    <t>勘定科目</t>
    <rPh sb="0" eb="2">
      <t>カンジョウ</t>
    </rPh>
    <rPh sb="2" eb="4">
      <t>カモク</t>
    </rPh>
    <phoneticPr fontId="15"/>
  </si>
  <si>
    <t>部門</t>
    <rPh sb="0" eb="2">
      <t>ブモン</t>
    </rPh>
    <phoneticPr fontId="15"/>
  </si>
  <si>
    <t>借方　取引通貨金額</t>
    <rPh sb="0" eb="2">
      <t xml:space="preserve">カリカタ </t>
    </rPh>
    <rPh sb="3" eb="5">
      <t>トリヒキ</t>
    </rPh>
    <rPh sb="5" eb="7">
      <t>ツウカ</t>
    </rPh>
    <rPh sb="7" eb="9">
      <t>キンガク</t>
    </rPh>
    <phoneticPr fontId="15"/>
  </si>
  <si>
    <t>貸方　取引通貨金額</t>
    <rPh sb="0" eb="2">
      <t xml:space="preserve">カシカタ </t>
    </rPh>
    <rPh sb="3" eb="5">
      <t>トリヒキ</t>
    </rPh>
    <rPh sb="5" eb="7">
      <t>ツウカ</t>
    </rPh>
    <rPh sb="7" eb="9">
      <t>キンガク</t>
    </rPh>
    <phoneticPr fontId="15"/>
  </si>
  <si>
    <t>税</t>
    <rPh sb="0" eb="1">
      <t>ゼイ</t>
    </rPh>
    <phoneticPr fontId="15"/>
  </si>
  <si>
    <t>明細摘要</t>
    <rPh sb="0" eb="2">
      <t>メイサイ</t>
    </rPh>
    <rPh sb="2" eb="4">
      <t>テキヨウ</t>
    </rPh>
    <phoneticPr fontId="15"/>
  </si>
  <si>
    <t>現金</t>
  </si>
  <si>
    <t>シート名を入力</t>
    <rPh sb="3" eb="4">
      <t>ﾒｲ</t>
    </rPh>
    <rPh sb="5" eb="7">
      <t>ﾆｭｳﾘｮｸ</t>
    </rPh>
    <phoneticPr fontId="17" type="noConversion"/>
  </si>
  <si>
    <t>売掛金</t>
  </si>
  <si>
    <t>売上値引</t>
  </si>
  <si>
    <t>S01</t>
  </si>
  <si>
    <t>仮受営業税</t>
  </si>
  <si>
    <t>売上高</t>
  </si>
  <si>
    <t>雑収入_その他</t>
  </si>
  <si>
    <t>雑損失_その他</t>
  </si>
  <si>
    <t>年-月-日</t>
    <rPh sb="0" eb="1">
      <t>ネン</t>
    </rPh>
    <rPh sb="2" eb="3">
      <t>ツキ</t>
    </rPh>
    <rPh sb="4" eb="5">
      <t>ニチ</t>
    </rPh>
    <phoneticPr fontId="18"/>
  </si>
  <si>
    <t>年＋月＋Sales</t>
    <rPh sb="0" eb="1">
      <t>ネン</t>
    </rPh>
    <rPh sb="2" eb="3">
      <t>ツキ</t>
    </rPh>
    <phoneticPr fontId="18"/>
  </si>
  <si>
    <t>売上ファイルの指定セル</t>
    <rPh sb="0" eb="2">
      <t>ウリアゲ</t>
    </rPh>
    <rPh sb="7" eb="9">
      <t>シテイ</t>
    </rPh>
    <phoneticPr fontId="18"/>
  </si>
  <si>
    <t xml:space="preserve">部門コード(PLは必ず入れる、BSは現金（10000）は入れる)
</t>
    <rPh sb="0" eb="2">
      <t>ブモン</t>
    </rPh>
    <rPh sb="9" eb="10">
      <t>カナラ</t>
    </rPh>
    <rPh sb="11" eb="12">
      <t>イ</t>
    </rPh>
    <rPh sb="18" eb="20">
      <t>ゲンキン</t>
    </rPh>
    <rPh sb="28" eb="29">
      <t>イ</t>
    </rPh>
    <phoneticPr fontId="18"/>
  </si>
  <si>
    <t>（XXXX/XX）内容（店舗名）</t>
    <rPh sb="9" eb="11">
      <t>ナイヨウ</t>
    </rPh>
    <rPh sb="12" eb="14">
      <t>テンポ</t>
    </rPh>
    <rPh sb="14" eb="15">
      <t>メイ</t>
    </rPh>
    <phoneticPr fontId="18"/>
  </si>
  <si>
    <t>③外送(Foodpanda)</t>
    <phoneticPr fontId="8" type="noConversion"/>
  </si>
  <si>
    <t>④小計＝①+②+③</t>
    <phoneticPr fontId="8" type="noConversion"/>
  </si>
  <si>
    <t>⑤値引</t>
    <phoneticPr fontId="8" type="noConversion"/>
  </si>
  <si>
    <t>➅総計＝④+⑤</t>
    <phoneticPr fontId="8" type="noConversion"/>
  </si>
  <si>
    <t>税抜売上
G</t>
    <phoneticPr fontId="17" type="noConversion"/>
  </si>
  <si>
    <t>営業税
H</t>
    <phoneticPr fontId="17" type="noConversion"/>
  </si>
  <si>
    <t>税込売上
I=G+H</t>
    <phoneticPr fontId="17" type="noConversion"/>
  </si>
  <si>
    <t>税抜値引
M</t>
    <phoneticPr fontId="17" type="noConversion"/>
  </si>
  <si>
    <t>営業税
N</t>
    <phoneticPr fontId="17" type="noConversion"/>
  </si>
  <si>
    <t>税込値引き
O=M+N</t>
    <phoneticPr fontId="17" type="noConversion"/>
  </si>
  <si>
    <t>税抜総売上
P=J+M</t>
    <phoneticPr fontId="8" type="noConversion"/>
  </si>
  <si>
    <t>営業税
Q=K+N</t>
    <phoneticPr fontId="8" type="noConversion"/>
  </si>
  <si>
    <t>税込総売上
R=L+O</t>
    <phoneticPr fontId="17" type="noConversion"/>
  </si>
  <si>
    <r>
      <t xml:space="preserve">集計した結果、金額が０のものは削除する必要あり（取込時にエラーになるため）
</t>
    </r>
    <r>
      <rPr>
        <sz val="12"/>
        <color rgb="FFFF0000"/>
        <rFont val="ＭＳ ゴシック"/>
        <family val="3"/>
        <charset val="128"/>
      </rPr>
      <t>※このファイルは該当箇所を説明するため、あえて0の行を残しています。</t>
    </r>
    <rPh sb="0" eb="2">
      <t>シュウケイ</t>
    </rPh>
    <rPh sb="4" eb="6">
      <t>ケッカ</t>
    </rPh>
    <rPh sb="7" eb="9">
      <t>キンガク</t>
    </rPh>
    <rPh sb="15" eb="17">
      <t>サクジョ</t>
    </rPh>
    <rPh sb="19" eb="21">
      <t>ヒツヨウ</t>
    </rPh>
    <rPh sb="24" eb="26">
      <t>トリコミ</t>
    </rPh>
    <rPh sb="26" eb="27">
      <t>ジ</t>
    </rPh>
    <rPh sb="46" eb="48">
      <t>ガイトウ</t>
    </rPh>
    <rPh sb="48" eb="50">
      <t>カショ</t>
    </rPh>
    <rPh sb="51" eb="53">
      <t>セツメイ</t>
    </rPh>
    <rPh sb="63" eb="64">
      <t>ギョウ</t>
    </rPh>
    <rPh sb="65" eb="66">
      <t>ノコ</t>
    </rPh>
    <phoneticPr fontId="18"/>
  </si>
  <si>
    <t>④振興三倍券</t>
    <phoneticPr fontId="7" type="noConversion"/>
  </si>
  <si>
    <r>
      <t xml:space="preserve">税抜売上
</t>
    </r>
    <r>
      <rPr>
        <sz val="12"/>
        <color theme="1"/>
        <rFont val="細明體"/>
        <family val="3"/>
        <charset val="136"/>
      </rPr>
      <t>ㄅ</t>
    </r>
    <phoneticPr fontId="17" type="noConversion"/>
  </si>
  <si>
    <r>
      <t xml:space="preserve">営業税
</t>
    </r>
    <r>
      <rPr>
        <sz val="12"/>
        <color theme="1"/>
        <rFont val="細明體"/>
        <family val="3"/>
        <charset val="136"/>
      </rPr>
      <t>ㄆ</t>
    </r>
    <phoneticPr fontId="17" type="noConversion"/>
  </si>
  <si>
    <r>
      <t xml:space="preserve">税込売上
</t>
    </r>
    <r>
      <rPr>
        <sz val="12"/>
        <color rgb="FFFF0000"/>
        <rFont val="細明體"/>
        <family val="3"/>
        <charset val="136"/>
      </rPr>
      <t>ㄇ</t>
    </r>
    <r>
      <rPr>
        <sz val="12"/>
        <color rgb="FFFF0000"/>
        <rFont val="Meiryo UI"/>
        <family val="2"/>
        <charset val="128"/>
      </rPr>
      <t>=</t>
    </r>
    <r>
      <rPr>
        <sz val="12"/>
        <color rgb="FFFF0000"/>
        <rFont val="細明體"/>
        <family val="3"/>
        <charset val="136"/>
      </rPr>
      <t>ㄅ</t>
    </r>
    <r>
      <rPr>
        <sz val="12"/>
        <color rgb="FFFF0000"/>
        <rFont val="Meiryo UI"/>
        <family val="2"/>
        <charset val="128"/>
      </rPr>
      <t>+</t>
    </r>
    <r>
      <rPr>
        <sz val="12"/>
        <color rgb="FFFF0000"/>
        <rFont val="細明體"/>
        <family val="3"/>
        <charset val="136"/>
      </rPr>
      <t>ㄆ</t>
    </r>
    <phoneticPr fontId="17" type="noConversion"/>
  </si>
  <si>
    <r>
      <t>税抜売上
J=A+D+G+</t>
    </r>
    <r>
      <rPr>
        <sz val="12"/>
        <color theme="1"/>
        <rFont val="細明體"/>
        <family val="3"/>
        <charset val="136"/>
      </rPr>
      <t>ㄅ</t>
    </r>
    <phoneticPr fontId="17" type="noConversion"/>
  </si>
  <si>
    <r>
      <t>営業税
K=B+E+H+</t>
    </r>
    <r>
      <rPr>
        <sz val="12"/>
        <color theme="1"/>
        <rFont val="細明體"/>
        <family val="3"/>
        <charset val="136"/>
      </rPr>
      <t>ㄆ</t>
    </r>
    <phoneticPr fontId="17" type="noConversion"/>
  </si>
  <si>
    <r>
      <t>税込売上
L=C+F+I+</t>
    </r>
    <r>
      <rPr>
        <sz val="12"/>
        <color theme="1"/>
        <rFont val="細明體"/>
        <family val="3"/>
        <charset val="136"/>
      </rPr>
      <t>ㄇ</t>
    </r>
    <phoneticPr fontId="8" type="noConversion"/>
  </si>
  <si>
    <t>外送對帳核對</t>
    <phoneticPr fontId="17" type="noConversion"/>
  </si>
  <si>
    <t>振興券</t>
    <phoneticPr fontId="17" type="noConversion"/>
  </si>
  <si>
    <t>現金</t>
    <phoneticPr fontId="17" type="noConversion"/>
  </si>
  <si>
    <r>
      <t>當日開立外送發票金額
(</t>
    </r>
    <r>
      <rPr>
        <sz val="12"/>
        <color theme="1"/>
        <rFont val="Meiryo UI"/>
        <family val="2"/>
      </rPr>
      <t>店鋪開立)</t>
    </r>
    <phoneticPr fontId="17" type="noConversion"/>
  </si>
  <si>
    <t>差額
(應補開發票)</t>
    <phoneticPr fontId="17" type="noConversion"/>
  </si>
  <si>
    <t>税抜売上</t>
    <phoneticPr fontId="17" type="noConversion"/>
  </si>
  <si>
    <t>営業税</t>
    <phoneticPr fontId="17" type="noConversion"/>
  </si>
  <si>
    <t>税込売上</t>
    <phoneticPr fontId="17" type="noConversion"/>
  </si>
  <si>
    <t>振興三倍券過剰または（不足）</t>
    <phoneticPr fontId="17" type="noConversion"/>
  </si>
  <si>
    <t>税込</t>
    <phoneticPr fontId="17" type="noConversion"/>
  </si>
  <si>
    <t>熊貓對帳單金額
(應收帳款)</t>
    <phoneticPr fontId="17" type="noConversion"/>
  </si>
  <si>
    <t>振興三倍券</t>
  </si>
  <si>
    <r>
      <t>熊</t>
    </r>
    <r>
      <rPr>
        <sz val="12"/>
        <color theme="1"/>
        <rFont val="細明體"/>
        <family val="3"/>
        <charset val="136"/>
      </rPr>
      <t>貓</t>
    </r>
    <r>
      <rPr>
        <sz val="12"/>
        <color theme="1"/>
        <rFont val="Meiryo UI"/>
        <family val="2"/>
      </rPr>
      <t>手續費</t>
    </r>
    <phoneticPr fontId="17" type="noConversion"/>
  </si>
  <si>
    <t>上半月</t>
    <phoneticPr fontId="17" type="noConversion"/>
  </si>
  <si>
    <t>下半月</t>
    <phoneticPr fontId="17" type="noConversion"/>
  </si>
  <si>
    <t>合計</t>
    <phoneticPr fontId="17" type="noConversion"/>
  </si>
  <si>
    <t>税抜</t>
    <phoneticPr fontId="17" type="noConversion"/>
  </si>
  <si>
    <t>税抜</t>
  </si>
  <si>
    <t>税込</t>
  </si>
  <si>
    <t>過剰</t>
    <phoneticPr fontId="17" type="noConversion"/>
  </si>
  <si>
    <t>不足</t>
    <phoneticPr fontId="17" type="noConversion"/>
  </si>
  <si>
    <t>D35　イートイン現金</t>
    <rPh sb="9" eb="11">
      <t>ゲンキン</t>
    </rPh>
    <phoneticPr fontId="30"/>
  </si>
  <si>
    <t>G35　イートインクレジット</t>
  </si>
  <si>
    <t>(AK35-支払手数料)　デリバリー</t>
  </si>
  <si>
    <t>M35　イートイン振興券</t>
  </si>
  <si>
    <t>AO35　デリバリー差異（マイナス）</t>
  </si>
  <si>
    <t>R35　税抜値引</t>
    <rPh sb="4" eb="5">
      <t>ゼイ</t>
    </rPh>
    <rPh sb="5" eb="6">
      <t>ヌ</t>
    </rPh>
    <rPh sb="6" eb="8">
      <t>ネビ</t>
    </rPh>
    <phoneticPr fontId="30"/>
  </si>
  <si>
    <t>S35　値引営業税</t>
    <rPh sb="4" eb="6">
      <t>ネビ</t>
    </rPh>
    <rPh sb="6" eb="8">
      <t>エイギョウ</t>
    </rPh>
    <rPh sb="8" eb="9">
      <t>ゼイ</t>
    </rPh>
    <phoneticPr fontId="30"/>
  </si>
  <si>
    <t>U35　税抜総売上</t>
    <rPh sb="4" eb="5">
      <t>ゼイ</t>
    </rPh>
    <rPh sb="5" eb="6">
      <t>ヌ</t>
    </rPh>
    <rPh sb="6" eb="7">
      <t>ソウ</t>
    </rPh>
    <rPh sb="7" eb="9">
      <t>ウリアゲ</t>
    </rPh>
    <phoneticPr fontId="30"/>
  </si>
  <si>
    <t>V35　総売上営業税</t>
    <rPh sb="4" eb="5">
      <t>ソウ</t>
    </rPh>
    <rPh sb="5" eb="7">
      <t>ウリアゲ</t>
    </rPh>
    <rPh sb="7" eb="9">
      <t>エイギョウ</t>
    </rPh>
    <rPh sb="9" eb="10">
      <t>ゼイ</t>
    </rPh>
    <phoneticPr fontId="30"/>
  </si>
  <si>
    <t>AG41　現金差異（プラス）税込</t>
    <rPh sb="4" eb="6">
      <t>ゲンキン</t>
    </rPh>
    <rPh sb="6" eb="8">
      <t>サイ</t>
    </rPh>
    <rPh sb="13" eb="15">
      <t>ゼイコ</t>
    </rPh>
    <phoneticPr fontId="30"/>
  </si>
  <si>
    <t>AI41　振興券差異（プラス）税込</t>
    <rPh sb="4" eb="6">
      <t>ゲンキン</t>
    </rPh>
    <rPh sb="6" eb="8">
      <t>サイ</t>
    </rPh>
    <rPh sb="13" eb="15">
      <t>ゼイコ</t>
    </rPh>
    <phoneticPr fontId="30"/>
  </si>
  <si>
    <t>AF41　現金差異（プラス）税抜</t>
    <rPh sb="5" eb="7">
      <t>ゲンキン</t>
    </rPh>
    <rPh sb="7" eb="9">
      <t>サイ</t>
    </rPh>
    <rPh sb="14" eb="15">
      <t>ゼイ</t>
    </rPh>
    <rPh sb="15" eb="16">
      <t>ヌ</t>
    </rPh>
    <phoneticPr fontId="30"/>
  </si>
  <si>
    <t>AG41-AF41　現金差異（プラス）営業税</t>
    <rPh sb="9" eb="11">
      <t>ゲンキン</t>
    </rPh>
    <rPh sb="11" eb="13">
      <t>サイ</t>
    </rPh>
    <rPh sb="18" eb="20">
      <t>エイギョウ</t>
    </rPh>
    <rPh sb="20" eb="21">
      <t>ゼイ</t>
    </rPh>
    <phoneticPr fontId="30"/>
  </si>
  <si>
    <t>AH41　振興券差異（プラス）税抜</t>
    <rPh sb="5" eb="7">
      <t>ゲンキン</t>
    </rPh>
    <rPh sb="7" eb="9">
      <t>サイ</t>
    </rPh>
    <rPh sb="14" eb="15">
      <t>ゼイ</t>
    </rPh>
    <rPh sb="15" eb="16">
      <t>ヌ</t>
    </rPh>
    <phoneticPr fontId="30"/>
  </si>
  <si>
    <t>AI41-AH41　振興券差異（プラス）営業税</t>
    <rPh sb="9" eb="11">
      <t>ゲンキン</t>
    </rPh>
    <rPh sb="11" eb="13">
      <t>サイ</t>
    </rPh>
    <rPh sb="18" eb="20">
      <t>エイギョウ</t>
    </rPh>
    <rPh sb="20" eb="21">
      <t>ゼイ</t>
    </rPh>
    <phoneticPr fontId="30"/>
  </si>
  <si>
    <t>AG42　現金差異（マイナス）</t>
    <rPh sb="4" eb="6">
      <t>ゲンキン</t>
    </rPh>
    <rPh sb="6" eb="8">
      <t>サイ</t>
    </rPh>
    <phoneticPr fontId="30"/>
  </si>
  <si>
    <t>P99</t>
  </si>
  <si>
    <t>AI42　振興券差異（マイナス）</t>
    <rPh sb="4" eb="6">
      <t>ゲンキン</t>
    </rPh>
    <rPh sb="6" eb="8">
      <t>サイ</t>
    </rPh>
    <phoneticPr fontId="30"/>
  </si>
  <si>
    <t>年月</t>
    <phoneticPr fontId="7" type="noConversion"/>
  </si>
  <si>
    <t>店名</t>
    <phoneticPr fontId="7" type="noConversion"/>
  </si>
  <si>
    <t>台北館前路店</t>
    <phoneticPr fontId="7" type="noConversion"/>
  </si>
  <si>
    <t>店號</t>
    <phoneticPr fontId="7" type="noConversion"/>
  </si>
  <si>
    <t>支払手数料</t>
  </si>
  <si>
    <t>P01</t>
  </si>
  <si>
    <t>Data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</si>
</sst>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yyyy/m/d\(ddd\)"/>
    <numFmt numFmtId="177" formatCode="#,##0_);[Red]\(#,##0\)"/>
    <numFmt numFmtId="178" formatCode="_-* #,##0_-;\-* #,##0_-;_-* &quot;-&quot;??_-;_-@_-"/>
  </numFmts>
  <fonts count="35">
    <font>
      <sz val="12"/>
      <color theme="1"/>
      <name val="Meiryo UI"/>
      <family val="2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Meiryo UI"/>
      <family val="2"/>
    </font>
    <font>
      <sz val="9"/>
      <name val="Meiryo UI"/>
      <family val="2"/>
      <charset val="136"/>
    </font>
    <font>
      <sz val="9"/>
      <name val="新細明體"/>
      <family val="1"/>
      <charset val="136"/>
    </font>
    <font>
      <sz val="12"/>
      <color rgb="FFFF0000"/>
      <name val="Meiryo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9"/>
      <color theme="1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color rgb="FFFF0000"/>
      <name val="ＭＳ ゴシック"/>
      <family val="3"/>
      <charset val="128"/>
    </font>
    <font>
      <sz val="9"/>
      <name val="新細明體"/>
      <family val="2"/>
      <charset val="136"/>
      <scheme val="minor"/>
    </font>
    <font>
      <sz val="6"/>
      <name val="新細明體"/>
      <family val="1"/>
      <charset val="128"/>
      <scheme val="minor"/>
    </font>
    <font>
      <sz val="12"/>
      <color theme="1"/>
      <name val="ＭＳ ゴシック"/>
      <family val="3"/>
      <charset val="128"/>
    </font>
    <font>
      <sz val="12"/>
      <color rgb="FF000000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  <font>
      <sz val="12"/>
      <color rgb="FFFF0000"/>
      <name val="ＭＳ ゴシック"/>
      <family val="3"/>
      <charset val="128"/>
    </font>
    <font>
      <sz val="12"/>
      <color theme="1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FF0000"/>
      <name val="細明體"/>
      <family val="3"/>
      <charset val="136"/>
    </font>
    <font>
      <b/>
      <sz val="12"/>
      <color rgb="FF0070C0"/>
      <name val="Meiryo UI"/>
      <family val="2"/>
      <charset val="128"/>
    </font>
    <font>
      <sz val="12"/>
      <color rgb="FFFF0000"/>
      <name val="Meiryo UI"/>
      <family val="2"/>
      <charset val="128"/>
    </font>
    <font>
      <sz val="12"/>
      <name val="Meiryo UI"/>
      <family val="2"/>
      <charset val="128"/>
    </font>
    <font>
      <sz val="12"/>
      <color theme="1"/>
      <name val="Meiryo UI"/>
      <family val="2"/>
      <charset val="136"/>
    </font>
    <font>
      <sz val="12"/>
      <color rgb="FFFF0000"/>
      <name val="新細明體"/>
      <family val="1"/>
      <charset val="136"/>
      <scheme val="minor"/>
    </font>
    <font>
      <sz val="12"/>
      <color theme="8" tint="-0.249977111117893"/>
      <name val="ＭＳ ゴシック"/>
      <family val="3"/>
      <charset val="128"/>
    </font>
    <font>
      <sz val="12"/>
      <color theme="1"/>
      <name val="新細明體"/>
      <family val="3"/>
      <charset val="136"/>
    </font>
    <font>
      <sz val="12"/>
      <color rgb="FF000000"/>
      <name val="細明體"/>
      <family val="3"/>
      <charset val="136"/>
    </font>
    <font>
      <sz val="12"/>
      <color theme="7" tint="-0.249977111117893"/>
      <name val="ＭＳ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 diagonalDown="1">
      <left style="medium">
        <color auto="1"/>
      </left>
      <right style="thin">
        <color auto="1"/>
      </right>
      <top style="medium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2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144">
    <xf numFmtId="0" fontId="0" fillId="0" borderId="0" xfId="0">
      <alignment vertical="center"/>
    </xf>
    <xf numFmtId="0" fontId="6" fillId="0" borderId="0" xfId="1" applyFont="1" applyAlignment="1">
      <alignment horizontal="center" vertical="center"/>
    </xf>
    <xf numFmtId="177" fontId="9" fillId="2" borderId="7" xfId="1" applyNumberFormat="1" applyFont="1" applyFill="1" applyBorder="1" applyAlignment="1">
      <alignment horizontal="center" vertical="center" wrapText="1"/>
    </xf>
    <xf numFmtId="177" fontId="6" fillId="0" borderId="7" xfId="1" applyNumberFormat="1" applyFont="1" applyBorder="1" applyAlignment="1">
      <alignment horizontal="right" vertical="center"/>
    </xf>
    <xf numFmtId="177" fontId="6" fillId="0" borderId="12" xfId="1" applyNumberFormat="1" applyFont="1" applyBorder="1" applyAlignment="1">
      <alignment horizontal="right" vertical="center"/>
    </xf>
    <xf numFmtId="49" fontId="14" fillId="4" borderId="7" xfId="2" applyNumberFormat="1" applyFont="1" applyFill="1" applyBorder="1" applyAlignment="1">
      <alignment horizontal="left" vertical="center" wrapText="1"/>
    </xf>
    <xf numFmtId="0" fontId="14" fillId="4" borderId="7" xfId="2" applyFont="1" applyFill="1" applyBorder="1" applyAlignment="1">
      <alignment horizontal="left" vertical="center" wrapText="1"/>
    </xf>
    <xf numFmtId="49" fontId="14" fillId="5" borderId="7" xfId="2" applyNumberFormat="1" applyFont="1" applyFill="1" applyBorder="1" applyAlignment="1">
      <alignment horizontal="left" vertical="center" wrapText="1"/>
    </xf>
    <xf numFmtId="0" fontId="14" fillId="0" borderId="0" xfId="2" applyFont="1" applyAlignment="1">
      <alignment horizontal="left" vertical="center" wrapText="1"/>
    </xf>
    <xf numFmtId="49" fontId="14" fillId="4" borderId="7" xfId="2" applyNumberFormat="1" applyFont="1" applyFill="1" applyBorder="1" applyAlignment="1">
      <alignment vertical="top" wrapText="1"/>
    </xf>
    <xf numFmtId="0" fontId="14" fillId="4" borderId="7" xfId="2" applyFont="1" applyFill="1" applyBorder="1" applyAlignment="1">
      <alignment vertical="top" wrapText="1"/>
    </xf>
    <xf numFmtId="49" fontId="14" fillId="5" borderId="7" xfId="2" applyNumberFormat="1" applyFont="1" applyFill="1" applyBorder="1" applyAlignment="1">
      <alignment vertical="top" wrapText="1"/>
    </xf>
    <xf numFmtId="0" fontId="14" fillId="0" borderId="0" xfId="2" applyFont="1" applyAlignment="1">
      <alignment vertical="top" wrapText="1"/>
    </xf>
    <xf numFmtId="0" fontId="14" fillId="0" borderId="0" xfId="2" quotePrefix="1" applyFont="1" applyAlignment="1">
      <alignment vertical="top" wrapText="1"/>
    </xf>
    <xf numFmtId="49" fontId="16" fillId="4" borderId="7" xfId="2" applyNumberFormat="1" applyFont="1" applyFill="1" applyBorder="1" applyAlignment="1">
      <alignment horizontal="left" vertical="center" wrapText="1"/>
    </xf>
    <xf numFmtId="0" fontId="16" fillId="4" borderId="7" xfId="2" applyFont="1" applyFill="1" applyBorder="1" applyAlignment="1">
      <alignment horizontal="left" vertical="center" wrapText="1"/>
    </xf>
    <xf numFmtId="49" fontId="16" fillId="5" borderId="7" xfId="2" applyNumberFormat="1" applyFont="1" applyFill="1" applyBorder="1" applyAlignment="1">
      <alignment horizontal="left" vertical="center" wrapText="1"/>
    </xf>
    <xf numFmtId="0" fontId="16" fillId="0" borderId="0" xfId="2" applyFont="1" applyAlignment="1">
      <alignment horizontal="left" vertical="center" wrapText="1"/>
    </xf>
    <xf numFmtId="49" fontId="16" fillId="4" borderId="7" xfId="2" applyNumberFormat="1" applyFont="1" applyFill="1" applyBorder="1" applyAlignment="1">
      <alignment horizontal="left" vertical="top" wrapText="1"/>
    </xf>
    <xf numFmtId="0" fontId="16" fillId="4" borderId="7" xfId="2" applyFont="1" applyFill="1" applyBorder="1" applyAlignment="1">
      <alignment horizontal="left" vertical="top" wrapText="1"/>
    </xf>
    <xf numFmtId="49" fontId="16" fillId="5" borderId="7" xfId="2" applyNumberFormat="1" applyFont="1" applyFill="1" applyBorder="1" applyAlignment="1">
      <alignment horizontal="left" vertical="top" wrapText="1"/>
    </xf>
    <xf numFmtId="0" fontId="16" fillId="0" borderId="0" xfId="2" applyFont="1" applyAlignment="1">
      <alignment horizontal="left" vertical="top" wrapText="1"/>
    </xf>
    <xf numFmtId="49" fontId="14" fillId="4" borderId="7" xfId="2" applyNumberFormat="1" applyFont="1" applyFill="1" applyBorder="1" applyAlignment="1">
      <alignment horizontal="right" vertical="center" wrapText="1"/>
    </xf>
    <xf numFmtId="0" fontId="14" fillId="4" borderId="7" xfId="2" applyFont="1" applyFill="1" applyBorder="1" applyAlignment="1">
      <alignment horizontal="right" vertical="center" wrapText="1"/>
    </xf>
    <xf numFmtId="49" fontId="14" fillId="5" borderId="7" xfId="2" applyNumberFormat="1" applyFont="1" applyFill="1" applyBorder="1" applyAlignment="1">
      <alignment horizontal="right" vertical="center" wrapText="1"/>
    </xf>
    <xf numFmtId="0" fontId="14" fillId="0" borderId="0" xfId="2" applyFont="1" applyAlignment="1">
      <alignment horizontal="right" vertical="center" wrapText="1"/>
    </xf>
    <xf numFmtId="49" fontId="14" fillId="4" borderId="7" xfId="2" applyNumberFormat="1" applyFont="1" applyFill="1" applyBorder="1" applyAlignment="1">
      <alignment horizontal="left" vertical="center"/>
    </xf>
    <xf numFmtId="0" fontId="14" fillId="4" borderId="7" xfId="2" applyFont="1" applyFill="1" applyBorder="1" applyAlignment="1">
      <alignment horizontal="left" vertical="center"/>
    </xf>
    <xf numFmtId="49" fontId="14" fillId="5" borderId="7" xfId="2" applyNumberFormat="1" applyFont="1" applyFill="1" applyBorder="1" applyAlignment="1">
      <alignment horizontal="left" vertical="center"/>
    </xf>
    <xf numFmtId="0" fontId="14" fillId="0" borderId="0" xfId="2" applyFont="1" applyAlignment="1">
      <alignment horizontal="left" vertical="center"/>
    </xf>
    <xf numFmtId="177" fontId="6" fillId="0" borderId="7" xfId="1" applyNumberFormat="1" applyFont="1" applyFill="1" applyBorder="1" applyAlignment="1">
      <alignment horizontal="right" vertical="center"/>
    </xf>
    <xf numFmtId="0" fontId="6" fillId="3" borderId="0" xfId="1" applyFont="1" applyFill="1">
      <alignment vertical="center"/>
    </xf>
    <xf numFmtId="0" fontId="19" fillId="0" borderId="0" xfId="2" applyFont="1" applyAlignment="1">
      <alignment horizontal="left" vertical="center"/>
    </xf>
    <xf numFmtId="0" fontId="20" fillId="0" borderId="0" xfId="2" applyFont="1" applyFill="1">
      <alignment vertical="center"/>
    </xf>
    <xf numFmtId="0" fontId="19" fillId="0" borderId="0" xfId="2" applyFont="1" applyAlignment="1">
      <alignment horizontal="left" vertical="center" wrapText="1"/>
    </xf>
    <xf numFmtId="0" fontId="19" fillId="0" borderId="0" xfId="2" applyFont="1" applyFill="1" applyAlignment="1">
      <alignment horizontal="left" vertical="center"/>
    </xf>
    <xf numFmtId="0" fontId="24" fillId="0" borderId="0" xfId="1" applyFont="1" applyAlignment="1">
      <alignment horizontal="center" vertical="center"/>
    </xf>
    <xf numFmtId="177" fontId="27" fillId="2" borderId="7" xfId="1" applyNumberFormat="1" applyFont="1" applyFill="1" applyBorder="1" applyAlignment="1">
      <alignment horizontal="center" vertical="center" wrapText="1"/>
    </xf>
    <xf numFmtId="177" fontId="24" fillId="2" borderId="8" xfId="1" applyNumberFormat="1" applyFont="1" applyFill="1" applyBorder="1" applyAlignment="1">
      <alignment horizontal="center" vertical="center" wrapText="1"/>
    </xf>
    <xf numFmtId="177" fontId="27" fillId="2" borderId="8" xfId="1" applyNumberFormat="1" applyFont="1" applyFill="1" applyBorder="1" applyAlignment="1">
      <alignment horizontal="center" vertical="center" wrapText="1"/>
    </xf>
    <xf numFmtId="177" fontId="26" fillId="2" borderId="8" xfId="1" applyNumberFormat="1" applyFont="1" applyFill="1" applyBorder="1" applyAlignment="1">
      <alignment horizontal="center" vertical="center" wrapText="1"/>
    </xf>
    <xf numFmtId="177" fontId="24" fillId="2" borderId="1" xfId="1" applyNumberFormat="1" applyFont="1" applyFill="1" applyBorder="1" applyAlignment="1">
      <alignment horizontal="center" vertical="center" wrapText="1"/>
    </xf>
    <xf numFmtId="177" fontId="27" fillId="2" borderId="11" xfId="1" applyNumberFormat="1" applyFont="1" applyFill="1" applyBorder="1" applyAlignment="1">
      <alignment horizontal="center" vertical="center" wrapText="1"/>
    </xf>
    <xf numFmtId="177" fontId="24" fillId="0" borderId="7" xfId="1" applyNumberFormat="1" applyFont="1" applyBorder="1" applyAlignment="1">
      <alignment horizontal="right" vertical="center"/>
    </xf>
    <xf numFmtId="177" fontId="24" fillId="0" borderId="7" xfId="3" applyNumberFormat="1" applyFont="1" applyBorder="1" applyAlignment="1">
      <alignment horizontal="right" vertical="center"/>
    </xf>
    <xf numFmtId="177" fontId="26" fillId="0" borderId="7" xfId="1" applyNumberFormat="1" applyFont="1" applyBorder="1" applyAlignment="1">
      <alignment horizontal="right" vertical="center"/>
    </xf>
    <xf numFmtId="10" fontId="24" fillId="0" borderId="7" xfId="1" applyNumberFormat="1" applyFont="1" applyBorder="1" applyAlignment="1">
      <alignment horizontal="center" vertical="center"/>
    </xf>
    <xf numFmtId="177" fontId="24" fillId="0" borderId="0" xfId="1" applyNumberFormat="1" applyFont="1" applyAlignment="1">
      <alignment horizontal="right" vertical="center"/>
    </xf>
    <xf numFmtId="0" fontId="28" fillId="0" borderId="0" xfId="1" applyFont="1" applyAlignment="1">
      <alignment horizontal="center" vertical="center"/>
    </xf>
    <xf numFmtId="176" fontId="24" fillId="0" borderId="12" xfId="1" applyNumberFormat="1" applyFont="1" applyBorder="1" applyAlignment="1">
      <alignment horizontal="center" vertical="center"/>
    </xf>
    <xf numFmtId="177" fontId="24" fillId="0" borderId="12" xfId="1" applyNumberFormat="1" applyFont="1" applyBorder="1" applyAlignment="1">
      <alignment horizontal="right" vertical="center"/>
    </xf>
    <xf numFmtId="177" fontId="24" fillId="3" borderId="12" xfId="1" applyNumberFormat="1" applyFont="1" applyFill="1" applyBorder="1" applyAlignment="1">
      <alignment horizontal="right" vertical="center"/>
    </xf>
    <xf numFmtId="177" fontId="26" fillId="3" borderId="12" xfId="1" applyNumberFormat="1" applyFont="1" applyFill="1" applyBorder="1" applyAlignment="1">
      <alignment horizontal="right" vertical="center"/>
    </xf>
    <xf numFmtId="10" fontId="24" fillId="0" borderId="12" xfId="1" applyNumberFormat="1" applyFont="1" applyBorder="1" applyAlignment="1">
      <alignment horizontal="center" vertical="center"/>
    </xf>
    <xf numFmtId="176" fontId="24" fillId="0" borderId="0" xfId="1" applyNumberFormat="1" applyFont="1" applyAlignment="1">
      <alignment horizontal="center" vertical="center"/>
    </xf>
    <xf numFmtId="10" fontId="24" fillId="0" borderId="0" xfId="1" applyNumberFormat="1" applyFont="1" applyAlignment="1">
      <alignment horizontal="center" vertical="center"/>
    </xf>
    <xf numFmtId="0" fontId="24" fillId="3" borderId="0" xfId="1" applyFont="1" applyFill="1">
      <alignment vertical="center"/>
    </xf>
    <xf numFmtId="177" fontId="27" fillId="2" borderId="4" xfId="1" applyNumberFormat="1" applyFont="1" applyFill="1" applyBorder="1" applyAlignment="1">
      <alignment horizontal="center" vertical="center" wrapText="1"/>
    </xf>
    <xf numFmtId="177" fontId="24" fillId="0" borderId="7" xfId="4" applyNumberFormat="1" applyFont="1" applyBorder="1" applyAlignment="1">
      <alignment horizontal="right" vertical="center"/>
    </xf>
    <xf numFmtId="177" fontId="6" fillId="0" borderId="7" xfId="1" quotePrefix="1" applyNumberFormat="1" applyFont="1" applyBorder="1" applyAlignment="1">
      <alignment horizontal="right" vertical="center"/>
    </xf>
    <xf numFmtId="177" fontId="6" fillId="2" borderId="7" xfId="1" applyNumberFormat="1" applyFont="1" applyFill="1" applyBorder="1" applyAlignment="1">
      <alignment horizontal="center" vertical="center" wrapText="1"/>
    </xf>
    <xf numFmtId="178" fontId="14" fillId="5" borderId="7" xfId="6" applyNumberFormat="1" applyFont="1" applyFill="1" applyBorder="1" applyAlignment="1">
      <alignment horizontal="left" vertical="center" wrapText="1"/>
    </xf>
    <xf numFmtId="178" fontId="14" fillId="5" borderId="7" xfId="6" applyNumberFormat="1" applyFont="1" applyFill="1" applyBorder="1" applyAlignment="1">
      <alignment vertical="top" wrapText="1"/>
    </xf>
    <xf numFmtId="178" fontId="16" fillId="5" borderId="7" xfId="6" applyNumberFormat="1" applyFont="1" applyFill="1" applyBorder="1" applyAlignment="1">
      <alignment horizontal="left" vertical="center" wrapText="1"/>
    </xf>
    <xf numFmtId="178" fontId="16" fillId="5" borderId="7" xfId="6" applyNumberFormat="1" applyFont="1" applyFill="1" applyBorder="1" applyAlignment="1">
      <alignment horizontal="left" vertical="top" wrapText="1"/>
    </xf>
    <xf numFmtId="178" fontId="14" fillId="5" borderId="7" xfId="6" applyNumberFormat="1" applyFont="1" applyFill="1" applyBorder="1" applyAlignment="1">
      <alignment horizontal="right" vertical="center" wrapText="1"/>
    </xf>
    <xf numFmtId="178" fontId="14" fillId="5" borderId="7" xfId="6" applyNumberFormat="1" applyFont="1" applyFill="1" applyBorder="1" applyAlignment="1">
      <alignment horizontal="left" vertical="center"/>
    </xf>
    <xf numFmtId="178" fontId="19" fillId="0" borderId="0" xfId="6" applyNumberFormat="1" applyFont="1" applyAlignment="1">
      <alignment horizontal="left" vertical="center"/>
    </xf>
    <xf numFmtId="178" fontId="19" fillId="0" borderId="0" xfId="6" applyNumberFormat="1" applyFont="1" applyAlignment="1">
      <alignment horizontal="left" vertical="center" wrapText="1"/>
    </xf>
    <xf numFmtId="177" fontId="24" fillId="6" borderId="7" xfId="4" applyNumberFormat="1" applyFont="1" applyFill="1" applyBorder="1" applyAlignment="1">
      <alignment horizontal="right" vertical="center"/>
    </xf>
    <xf numFmtId="177" fontId="24" fillId="0" borderId="7" xfId="1" applyNumberFormat="1" applyFont="1" applyFill="1" applyBorder="1" applyAlignment="1">
      <alignment horizontal="right" vertical="center"/>
    </xf>
    <xf numFmtId="177" fontId="6" fillId="6" borderId="7" xfId="3" applyNumberFormat="1" applyFont="1" applyFill="1" applyBorder="1" applyAlignment="1">
      <alignment horizontal="right" vertical="center"/>
    </xf>
    <xf numFmtId="0" fontId="24" fillId="0" borderId="0" xfId="1" applyFont="1">
      <alignment vertical="center"/>
    </xf>
    <xf numFmtId="177" fontId="24" fillId="7" borderId="7" xfId="1" applyNumberFormat="1" applyFont="1" applyFill="1" applyBorder="1" applyAlignment="1">
      <alignment horizontal="center" vertical="center"/>
    </xf>
    <xf numFmtId="177" fontId="24" fillId="7" borderId="7" xfId="1" applyNumberFormat="1" applyFont="1" applyFill="1" applyBorder="1" applyAlignment="1">
      <alignment horizontal="right" vertical="center"/>
    </xf>
    <xf numFmtId="177" fontId="24" fillId="7" borderId="15" xfId="1" applyNumberFormat="1" applyFont="1" applyFill="1" applyBorder="1" applyAlignment="1">
      <alignment horizontal="right" vertical="center"/>
    </xf>
    <xf numFmtId="177" fontId="6" fillId="0" borderId="0" xfId="1" applyNumberFormat="1" applyFont="1" applyAlignment="1">
      <alignment horizontal="center" vertical="center"/>
    </xf>
    <xf numFmtId="0" fontId="6" fillId="9" borderId="7" xfId="1" applyFont="1" applyFill="1" applyBorder="1" applyAlignment="1">
      <alignment horizontal="center" vertical="center"/>
    </xf>
    <xf numFmtId="0" fontId="24" fillId="8" borderId="7" xfId="1" applyFont="1" applyFill="1" applyBorder="1" applyAlignment="1">
      <alignment horizontal="center" vertical="center"/>
    </xf>
    <xf numFmtId="0" fontId="6" fillId="8" borderId="20" xfId="1" applyFont="1" applyFill="1" applyBorder="1" applyAlignment="1">
      <alignment horizontal="center" vertical="center"/>
    </xf>
    <xf numFmtId="178" fontId="6" fillId="9" borderId="7" xfId="6" applyNumberFormat="1" applyFont="1" applyFill="1" applyBorder="1" applyAlignment="1">
      <alignment horizontal="center" vertical="center"/>
    </xf>
    <xf numFmtId="177" fontId="24" fillId="0" borderId="21" xfId="1" applyNumberFormat="1" applyFont="1" applyBorder="1" applyAlignment="1">
      <alignment horizontal="center" vertical="center"/>
    </xf>
    <xf numFmtId="177" fontId="24" fillId="8" borderId="7" xfId="1" applyNumberFormat="1" applyFont="1" applyFill="1" applyBorder="1" applyAlignment="1">
      <alignment horizontal="right" vertical="center"/>
    </xf>
    <xf numFmtId="177" fontId="24" fillId="8" borderId="20" xfId="1" applyNumberFormat="1" applyFont="1" applyFill="1" applyBorder="1" applyAlignment="1">
      <alignment horizontal="right" vertical="center"/>
    </xf>
    <xf numFmtId="177" fontId="24" fillId="0" borderId="22" xfId="1" applyNumberFormat="1" applyFont="1" applyBorder="1" applyAlignment="1">
      <alignment horizontal="center" vertical="center"/>
    </xf>
    <xf numFmtId="177" fontId="24" fillId="7" borderId="23" xfId="1" applyNumberFormat="1" applyFont="1" applyFill="1" applyBorder="1" applyAlignment="1">
      <alignment horizontal="right" vertical="center"/>
    </xf>
    <xf numFmtId="0" fontId="24" fillId="8" borderId="23" xfId="1" applyFont="1" applyFill="1" applyBorder="1" applyAlignment="1">
      <alignment horizontal="center" vertical="center"/>
    </xf>
    <xf numFmtId="177" fontId="24" fillId="8" borderId="24" xfId="1" applyNumberFormat="1" applyFont="1" applyFill="1" applyBorder="1" applyAlignment="1">
      <alignment horizontal="right" vertical="center"/>
    </xf>
    <xf numFmtId="178" fontId="19" fillId="0" borderId="0" xfId="6" applyNumberFormat="1" applyFont="1" applyFill="1" applyAlignment="1">
      <alignment horizontal="left" vertical="center"/>
    </xf>
    <xf numFmtId="0" fontId="21" fillId="0" borderId="0" xfId="2" applyFont="1" applyFill="1" applyAlignment="1">
      <alignment horizontal="left" vertical="center"/>
    </xf>
    <xf numFmtId="0" fontId="19" fillId="0" borderId="0" xfId="2" applyFont="1" applyFill="1" applyAlignment="1">
      <alignment horizontal="center" vertical="center"/>
    </xf>
    <xf numFmtId="0" fontId="31" fillId="0" borderId="0" xfId="2" applyFont="1" applyFill="1" applyAlignment="1">
      <alignment horizontal="left" vertical="center"/>
    </xf>
    <xf numFmtId="0" fontId="19" fillId="0" borderId="0" xfId="2" applyFont="1" applyFill="1" applyAlignment="1">
      <alignment horizontal="left" vertical="center" wrapText="1"/>
    </xf>
    <xf numFmtId="0" fontId="32" fillId="0" borderId="13" xfId="2" applyFont="1" applyFill="1" applyBorder="1" applyAlignment="1">
      <alignment horizontal="center" vertical="center"/>
    </xf>
    <xf numFmtId="0" fontId="23" fillId="0" borderId="0" xfId="2" applyFont="1" applyFill="1" applyAlignment="1">
      <alignment horizontal="center" vertical="center"/>
    </xf>
    <xf numFmtId="0" fontId="33" fillId="0" borderId="0" xfId="2" applyFont="1" applyFill="1">
      <alignment vertical="center"/>
    </xf>
    <xf numFmtId="14" fontId="19" fillId="0" borderId="0" xfId="2" quotePrefix="1" applyNumberFormat="1" applyFont="1" applyFill="1" applyAlignment="1">
      <alignment horizontal="left" vertical="center"/>
    </xf>
    <xf numFmtId="0" fontId="20" fillId="6" borderId="13" xfId="2" applyFont="1" applyFill="1" applyBorder="1">
      <alignment vertical="center"/>
    </xf>
    <xf numFmtId="0" fontId="33" fillId="6" borderId="13" xfId="2" applyFont="1" applyFill="1" applyBorder="1">
      <alignment vertical="center"/>
    </xf>
    <xf numFmtId="14" fontId="19" fillId="6" borderId="13" xfId="2" applyNumberFormat="1" applyFont="1" applyFill="1" applyBorder="1" applyAlignment="1">
      <alignment horizontal="center" vertical="center"/>
    </xf>
    <xf numFmtId="178" fontId="31" fillId="8" borderId="0" xfId="6" applyNumberFormat="1" applyFont="1" applyFill="1" applyAlignment="1">
      <alignment horizontal="left" vertical="center"/>
    </xf>
    <xf numFmtId="178" fontId="19" fillId="8" borderId="0" xfId="6" applyNumberFormat="1" applyFont="1" applyFill="1" applyAlignment="1">
      <alignment horizontal="left" vertical="center"/>
    </xf>
    <xf numFmtId="178" fontId="34" fillId="8" borderId="0" xfId="6" applyNumberFormat="1" applyFont="1" applyFill="1" applyAlignment="1">
      <alignment horizontal="left" vertical="center"/>
    </xf>
    <xf numFmtId="178" fontId="31" fillId="9" borderId="0" xfId="6" applyNumberFormat="1" applyFont="1" applyFill="1" applyAlignment="1">
      <alignment horizontal="left" vertical="center"/>
    </xf>
    <xf numFmtId="178" fontId="34" fillId="9" borderId="0" xfId="6" applyNumberFormat="1" applyFont="1" applyFill="1" applyAlignment="1">
      <alignment horizontal="left" vertical="center"/>
    </xf>
    <xf numFmtId="178" fontId="19" fillId="9" borderId="0" xfId="6" applyNumberFormat="1" applyFont="1" applyFill="1" applyAlignment="1">
      <alignment horizontal="left" vertical="center"/>
    </xf>
    <xf numFmtId="0" fontId="19" fillId="0" borderId="0" xfId="2" applyFont="1" applyFill="1" applyAlignment="1">
      <alignment horizontal="left" vertical="center"/>
    </xf>
    <xf numFmtId="176" fontId="24" fillId="6" borderId="7" xfId="1" applyNumberFormat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 wrapText="1"/>
    </xf>
    <xf numFmtId="0" fontId="24" fillId="2" borderId="7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177" fontId="6" fillId="2" borderId="9" xfId="1" applyNumberFormat="1" applyFont="1" applyFill="1" applyBorder="1" applyAlignment="1">
      <alignment horizontal="center" vertical="center"/>
    </xf>
    <xf numFmtId="177" fontId="6" fillId="2" borderId="14" xfId="1" applyNumberFormat="1" applyFont="1" applyFill="1" applyBorder="1" applyAlignment="1">
      <alignment horizontal="center" vertical="center"/>
    </xf>
    <xf numFmtId="177" fontId="24" fillId="2" borderId="2" xfId="1" applyNumberFormat="1" applyFont="1" applyFill="1" applyBorder="1" applyAlignment="1">
      <alignment horizontal="center" vertical="center"/>
    </xf>
    <xf numFmtId="177" fontId="24" fillId="2" borderId="3" xfId="1" applyNumberFormat="1" applyFont="1" applyFill="1" applyBorder="1" applyAlignment="1">
      <alignment horizontal="center" vertical="center"/>
    </xf>
    <xf numFmtId="177" fontId="24" fillId="2" borderId="4" xfId="1" applyNumberFormat="1" applyFont="1" applyFill="1" applyBorder="1" applyAlignment="1">
      <alignment horizontal="center" vertical="center"/>
    </xf>
    <xf numFmtId="0" fontId="24" fillId="2" borderId="1" xfId="1" applyFont="1" applyFill="1" applyBorder="1" applyAlignment="1">
      <alignment horizontal="center" vertical="center"/>
    </xf>
    <xf numFmtId="0" fontId="24" fillId="2" borderId="11" xfId="1" applyFont="1" applyFill="1" applyBorder="1" applyAlignment="1">
      <alignment horizontal="center" vertical="center"/>
    </xf>
    <xf numFmtId="177" fontId="24" fillId="0" borderId="16" xfId="1" applyNumberFormat="1" applyFont="1" applyBorder="1" applyAlignment="1">
      <alignment horizontal="center" vertical="center"/>
    </xf>
    <xf numFmtId="177" fontId="24" fillId="0" borderId="19" xfId="1" applyNumberFormat="1" applyFont="1" applyBorder="1" applyAlignment="1">
      <alignment horizontal="center" vertical="center"/>
    </xf>
    <xf numFmtId="177" fontId="24" fillId="7" borderId="17" xfId="1" applyNumberFormat="1" applyFont="1" applyFill="1" applyBorder="1" applyAlignment="1">
      <alignment horizontal="center" vertical="center"/>
    </xf>
    <xf numFmtId="177" fontId="24" fillId="8" borderId="17" xfId="1" applyNumberFormat="1" applyFont="1" applyFill="1" applyBorder="1" applyAlignment="1">
      <alignment horizontal="center" vertical="center"/>
    </xf>
    <xf numFmtId="177" fontId="24" fillId="8" borderId="18" xfId="1" applyNumberFormat="1" applyFont="1" applyFill="1" applyBorder="1" applyAlignment="1">
      <alignment horizontal="center" vertical="center"/>
    </xf>
    <xf numFmtId="0" fontId="24" fillId="9" borderId="7" xfId="1" applyFont="1" applyFill="1" applyBorder="1" applyAlignment="1">
      <alignment horizontal="center" vertical="center"/>
    </xf>
    <xf numFmtId="176" fontId="24" fillId="2" borderId="1" xfId="1" applyNumberFormat="1" applyFont="1" applyFill="1" applyBorder="1" applyAlignment="1">
      <alignment horizontal="center" vertical="center"/>
    </xf>
    <xf numFmtId="176" fontId="24" fillId="2" borderId="8" xfId="1" applyNumberFormat="1" applyFont="1" applyFill="1" applyBorder="1" applyAlignment="1">
      <alignment horizontal="center" vertical="center"/>
    </xf>
    <xf numFmtId="176" fontId="24" fillId="2" borderId="11" xfId="1" applyNumberFormat="1" applyFont="1" applyFill="1" applyBorder="1" applyAlignment="1">
      <alignment horizontal="center" vertical="center"/>
    </xf>
    <xf numFmtId="10" fontId="24" fillId="2" borderId="5" xfId="1" applyNumberFormat="1" applyFont="1" applyFill="1" applyBorder="1" applyAlignment="1">
      <alignment horizontal="center" vertical="center"/>
    </xf>
    <xf numFmtId="10" fontId="24" fillId="2" borderId="6" xfId="1" applyNumberFormat="1" applyFont="1" applyFill="1" applyBorder="1" applyAlignment="1">
      <alignment horizontal="center" vertical="center"/>
    </xf>
    <xf numFmtId="10" fontId="24" fillId="2" borderId="9" xfId="1" applyNumberFormat="1" applyFont="1" applyFill="1" applyBorder="1" applyAlignment="1">
      <alignment horizontal="center" vertical="center"/>
    </xf>
    <xf numFmtId="10" fontId="24" fillId="2" borderId="10" xfId="1" applyNumberFormat="1" applyFont="1" applyFill="1" applyBorder="1" applyAlignment="1">
      <alignment horizontal="center" vertical="center"/>
    </xf>
    <xf numFmtId="177" fontId="26" fillId="2" borderId="2" xfId="1" applyNumberFormat="1" applyFont="1" applyFill="1" applyBorder="1" applyAlignment="1">
      <alignment horizontal="center" vertical="center"/>
    </xf>
    <xf numFmtId="177" fontId="26" fillId="2" borderId="3" xfId="1" applyNumberFormat="1" applyFont="1" applyFill="1" applyBorder="1" applyAlignment="1">
      <alignment horizontal="center" vertical="center"/>
    </xf>
    <xf numFmtId="177" fontId="26" fillId="2" borderId="4" xfId="1" applyNumberFormat="1" applyFont="1" applyFill="1" applyBorder="1" applyAlignment="1">
      <alignment horizontal="center" vertical="center"/>
    </xf>
    <xf numFmtId="177" fontId="24" fillId="2" borderId="1" xfId="1" applyNumberFormat="1" applyFont="1" applyFill="1" applyBorder="1" applyAlignment="1">
      <alignment horizontal="center" vertical="center"/>
    </xf>
    <xf numFmtId="177" fontId="24" fillId="2" borderId="11" xfId="1" applyNumberFormat="1" applyFont="1" applyFill="1" applyBorder="1" applyAlignment="1">
      <alignment horizontal="center" vertical="center"/>
    </xf>
    <xf numFmtId="177" fontId="27" fillId="2" borderId="1" xfId="1" applyNumberFormat="1" applyFont="1" applyFill="1" applyBorder="1" applyAlignment="1">
      <alignment horizontal="center" vertical="center"/>
    </xf>
    <xf numFmtId="177" fontId="27" fillId="2" borderId="11" xfId="1" applyNumberFormat="1" applyFont="1" applyFill="1" applyBorder="1" applyAlignment="1">
      <alignment horizontal="center" vertical="center"/>
    </xf>
    <xf numFmtId="177" fontId="27" fillId="2" borderId="2" xfId="1" applyNumberFormat="1" applyFont="1" applyFill="1" applyBorder="1" applyAlignment="1">
      <alignment horizontal="center" vertical="center" wrapText="1"/>
    </xf>
    <xf numFmtId="177" fontId="27" fillId="2" borderId="4" xfId="1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</cellXfs>
  <cellStyles count="12">
    <cellStyle name="一般" xfId="0" builtinId="0"/>
    <cellStyle name="一般 2" xfId="1" xr:uid="{00000000-0005-0000-0000-000001000000}"/>
    <cellStyle name="一般 3" xfId="3" xr:uid="{DE3D13BC-6817-4C01-AFD4-F6F1B0FED76C}"/>
    <cellStyle name="一般 3 2" xfId="4" xr:uid="{E4BC3F09-96A4-4DD9-95C7-ABD7D810F733}"/>
    <cellStyle name="一般 3 2 2" xfId="9" xr:uid="{CE3517CD-8D8E-4B65-88A2-7BC3AACCEC78}"/>
    <cellStyle name="一般 3 3" xfId="5" xr:uid="{F595D833-F611-4126-A514-C9DDF4DFA314}"/>
    <cellStyle name="一般 3 4" xfId="8" xr:uid="{21DD6E74-7791-4170-BE48-87EA7913AE39}"/>
    <cellStyle name="一般 4" xfId="7" xr:uid="{57A403AB-E96B-429F-A739-000F3988114D}"/>
    <cellStyle name="千分位" xfId="6" builtinId="3"/>
    <cellStyle name="千分位 2" xfId="11" xr:uid="{D623C58C-9FD9-4C2F-9121-4E5FA3590CA6}"/>
    <cellStyle name="千分位 3" xfId="10" xr:uid="{0A666479-7CC2-4AA5-8F22-7FD3C3B7EE30}"/>
    <cellStyle name="標準 2" xfId="2" xr:uid="{74A14C7B-9EAD-42B9-9DF3-A05933EA3C55}"/>
  </cellStyles>
  <dxfs count="12">
    <dxf>
      <font>
        <color theme="1"/>
      </font>
      <fill>
        <patternFill>
          <fgColor theme="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fgColor theme="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fgColor theme="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9AC8-265D-4325-818B-5F3EA9CF3027}">
  <sheetPr>
    <tabColor rgb="FFFFCCFF"/>
  </sheetPr>
  <dimension ref="A1:M38"/>
  <sheetViews>
    <sheetView topLeftCell="A4" zoomScaleNormal="100" workbookViewId="0">
      <selection activeCell="G15" sqref="G15"/>
    </sheetView>
  </sheetViews>
  <sheetFormatPr defaultColWidth="7.09765625" defaultRowHeight="14.25"/>
  <cols>
    <col min="1" max="1" width="7.5" style="32" bestFit="1" customWidth="1"/>
    <col min="2" max="2" width="9" style="32" customWidth="1"/>
    <col min="3" max="3" width="10.8984375" style="32" bestFit="1" customWidth="1"/>
    <col min="4" max="4" width="8.296875" style="32" bestFit="1" customWidth="1"/>
    <col min="5" max="5" width="18.09765625" style="32" bestFit="1" customWidth="1"/>
    <col min="6" max="7" width="20.09765625" style="67" customWidth="1"/>
    <col min="8" max="8" width="9" style="32" customWidth="1"/>
    <col min="9" max="9" width="34.69921875" style="32" customWidth="1"/>
    <col min="10" max="10" width="18.09765625" style="32" bestFit="1" customWidth="1"/>
    <col min="11" max="11" width="18.09765625" style="32" customWidth="1"/>
    <col min="12" max="12" width="28.796875" style="32" bestFit="1" customWidth="1"/>
    <col min="13" max="13" width="28.8984375" style="32" bestFit="1" customWidth="1"/>
    <col min="14" max="16384" width="7.09765625" style="32"/>
  </cols>
  <sheetData>
    <row r="1" spans="1:12" s="8" customFormat="1" ht="14.1" customHeight="1">
      <c r="A1" s="5" t="s">
        <v>23</v>
      </c>
      <c r="B1" s="6" t="s">
        <v>24</v>
      </c>
      <c r="C1" s="5" t="s">
        <v>24</v>
      </c>
      <c r="D1" s="7" t="s">
        <v>25</v>
      </c>
      <c r="E1" s="7" t="s">
        <v>25</v>
      </c>
      <c r="F1" s="61" t="s">
        <v>25</v>
      </c>
      <c r="G1" s="61" t="s">
        <v>25</v>
      </c>
      <c r="H1" s="7" t="s">
        <v>25</v>
      </c>
      <c r="I1" s="7" t="s">
        <v>25</v>
      </c>
    </row>
    <row r="2" spans="1:12" s="12" customFormat="1" ht="58.5" customHeight="1">
      <c r="A2" s="9" t="s">
        <v>26</v>
      </c>
      <c r="B2" s="10" t="s">
        <v>27</v>
      </c>
      <c r="C2" s="9" t="s">
        <v>28</v>
      </c>
      <c r="D2" s="11" t="s">
        <v>29</v>
      </c>
      <c r="E2" s="11" t="s">
        <v>30</v>
      </c>
      <c r="F2" s="62" t="s">
        <v>31</v>
      </c>
      <c r="G2" s="62" t="s">
        <v>31</v>
      </c>
      <c r="H2" s="11" t="s">
        <v>32</v>
      </c>
      <c r="I2" s="11" t="s">
        <v>33</v>
      </c>
      <c r="K2" s="13"/>
    </row>
    <row r="3" spans="1:12" s="17" customFormat="1" ht="14.1" customHeight="1">
      <c r="A3" s="14" t="s">
        <v>34</v>
      </c>
      <c r="B3" s="15" t="s">
        <v>34</v>
      </c>
      <c r="C3" s="14"/>
      <c r="D3" s="16" t="s">
        <v>34</v>
      </c>
      <c r="E3" s="16"/>
      <c r="F3" s="63" t="s">
        <v>35</v>
      </c>
      <c r="G3" s="63" t="s">
        <v>35</v>
      </c>
      <c r="H3" s="16"/>
      <c r="I3" s="16"/>
    </row>
    <row r="4" spans="1:12" s="21" customFormat="1" ht="45.6" customHeight="1">
      <c r="A4" s="18" t="s">
        <v>36</v>
      </c>
      <c r="B4" s="19" t="s">
        <v>37</v>
      </c>
      <c r="C4" s="18"/>
      <c r="D4" s="20"/>
      <c r="E4" s="20"/>
      <c r="F4" s="64"/>
      <c r="G4" s="64"/>
      <c r="H4" s="20"/>
      <c r="I4" s="20"/>
    </row>
    <row r="5" spans="1:12" s="25" customFormat="1" ht="14.1" customHeight="1">
      <c r="A5" s="22">
        <v>10</v>
      </c>
      <c r="B5" s="23">
        <v>10</v>
      </c>
      <c r="C5" s="22">
        <v>100</v>
      </c>
      <c r="D5" s="24">
        <v>10</v>
      </c>
      <c r="E5" s="24">
        <v>10</v>
      </c>
      <c r="F5" s="65" t="s">
        <v>38</v>
      </c>
      <c r="G5" s="65" t="s">
        <v>38</v>
      </c>
      <c r="H5" s="24">
        <v>3</v>
      </c>
      <c r="I5" s="24">
        <v>100</v>
      </c>
    </row>
    <row r="6" spans="1:12" s="29" customFormat="1" ht="14.1" customHeight="1">
      <c r="A6" s="26" t="s">
        <v>39</v>
      </c>
      <c r="B6" s="27" t="s">
        <v>40</v>
      </c>
      <c r="C6" s="26" t="s">
        <v>41</v>
      </c>
      <c r="D6" s="28" t="s">
        <v>42</v>
      </c>
      <c r="E6" s="28" t="s">
        <v>43</v>
      </c>
      <c r="F6" s="66" t="s">
        <v>44</v>
      </c>
      <c r="G6" s="66" t="s">
        <v>45</v>
      </c>
      <c r="H6" s="28" t="s">
        <v>46</v>
      </c>
      <c r="I6" s="28" t="s">
        <v>47</v>
      </c>
    </row>
    <row r="7" spans="1:12" ht="15" thickBot="1">
      <c r="A7" s="35">
        <f>$K$17</f>
        <v>1</v>
      </c>
      <c r="B7" s="96">
        <f>$K$11</f>
        <v>44227</v>
      </c>
      <c r="C7" s="35" t="str">
        <f>TEXT($K$11,"yyyymm")&amp; " " &amp;"Sales"</f>
        <v>202101 Sales</v>
      </c>
      <c r="D7" s="35">
        <v>10000</v>
      </c>
      <c r="E7" s="35">
        <f>A7</f>
        <v>1</v>
      </c>
      <c r="F7" s="67">
        <f ca="1">INDIRECT($K$8&amp;"!D35")</f>
        <v>0</v>
      </c>
      <c r="H7" s="35"/>
      <c r="I7" s="35" t="str">
        <f>"("&amp;TEXT($K$11,"yyyy/mm")&amp;")"&amp;"營業收入・現金"&amp;"("&amp;$K$14&amp;")"</f>
        <v>(2021/01)營業收入・現金(台北館前路店)</v>
      </c>
      <c r="J7" s="33" t="s">
        <v>48</v>
      </c>
      <c r="K7" s="89" t="s">
        <v>49</v>
      </c>
      <c r="L7" s="35" t="s">
        <v>104</v>
      </c>
    </row>
    <row r="8" spans="1:12" ht="17.25" thickBot="1">
      <c r="A8" s="35">
        <f t="shared" ref="A8:A37" si="0">$K$17</f>
        <v>1</v>
      </c>
      <c r="B8" s="96">
        <f>$K$11</f>
        <v>44227</v>
      </c>
      <c r="C8" s="35" t="str">
        <f>TEXT($K$11,"yyyymm")&amp; " " &amp;"Sales"</f>
        <v>202101 Sales</v>
      </c>
      <c r="D8" s="35">
        <v>13501</v>
      </c>
      <c r="E8" s="35">
        <f>A8</f>
        <v>1</v>
      </c>
      <c r="F8" s="67">
        <f ca="1">INDIRECT($K$8&amp;"!G35")</f>
        <v>0</v>
      </c>
      <c r="H8" s="35"/>
      <c r="I8" s="35" t="str">
        <f>"("&amp;TEXT($K$11,"yyyy/mm")&amp;")"&amp;"營業收入・信用卡("&amp;"("&amp;$K$14&amp;")"</f>
        <v>(2021/01)營業收入・信用卡((台北館前路店)</v>
      </c>
      <c r="J8" s="33" t="s">
        <v>50</v>
      </c>
      <c r="K8" s="93" t="s">
        <v>128</v>
      </c>
      <c r="L8" s="35" t="s">
        <v>105</v>
      </c>
    </row>
    <row r="9" spans="1:12">
      <c r="A9" s="35">
        <f t="shared" si="0"/>
        <v>1</v>
      </c>
      <c r="B9" s="96">
        <f t="shared" ref="B9:B37" si="1">$K$11</f>
        <v>44227</v>
      </c>
      <c r="C9" s="35" t="str">
        <f t="shared" ref="C9:C37" si="2">TEXT($K$11,"yyyymm")&amp; " " &amp;"Sales"</f>
        <v>202101 Sales</v>
      </c>
      <c r="D9" s="35">
        <v>13501</v>
      </c>
      <c r="E9" s="35">
        <f t="shared" ref="E9:E16" si="3">A9</f>
        <v>1</v>
      </c>
      <c r="F9" s="101">
        <f ca="1">INDIRECT($K$8&amp;"!am35")-F11</f>
        <v>0</v>
      </c>
      <c r="H9" s="35"/>
      <c r="I9" s="35" t="str">
        <f>"("&amp;TEXT($K$11,"yyyy/mm")&amp;")"&amp;"營業收入・外送"&amp;"("&amp;$K$14&amp;")"</f>
        <v>(2021/01)營業收入・外送(台北館前路店)</v>
      </c>
      <c r="J9" s="33" t="s">
        <v>50</v>
      </c>
      <c r="K9" s="90"/>
      <c r="L9" s="35" t="s">
        <v>106</v>
      </c>
    </row>
    <row r="10" spans="1:12" ht="17.25" thickBot="1">
      <c r="A10" s="35">
        <f t="shared" si="0"/>
        <v>1</v>
      </c>
      <c r="B10" s="96">
        <f t="shared" si="1"/>
        <v>44227</v>
      </c>
      <c r="C10" s="35" t="str">
        <f t="shared" si="2"/>
        <v>202101 Sales</v>
      </c>
      <c r="D10" s="35">
        <v>13501</v>
      </c>
      <c r="E10" s="35">
        <f t="shared" si="3"/>
        <v>1</v>
      </c>
      <c r="F10" s="67">
        <f ca="1">INDIRECT($K$8&amp;"!m35")</f>
        <v>0</v>
      </c>
      <c r="H10" s="35"/>
      <c r="I10" s="35" t="str">
        <f>"("&amp;TEXT($K$11,"yyyy/mm")&amp;")"&amp;"營業收入・振興券"&amp;"("&amp;$K$14&amp;")"</f>
        <v>(2021/01)營業收入・振興券(台北館前路店)</v>
      </c>
      <c r="J10" s="33" t="s">
        <v>50</v>
      </c>
      <c r="K10" s="94" t="s">
        <v>122</v>
      </c>
      <c r="L10" s="35" t="s">
        <v>107</v>
      </c>
    </row>
    <row r="11" spans="1:12" ht="15" thickBot="1">
      <c r="A11" s="35">
        <f t="shared" si="0"/>
        <v>1</v>
      </c>
      <c r="B11" s="96">
        <f t="shared" si="1"/>
        <v>44227</v>
      </c>
      <c r="C11" s="35" t="str">
        <f t="shared" si="2"/>
        <v>202101 Sales</v>
      </c>
      <c r="D11" s="35">
        <v>75399</v>
      </c>
      <c r="E11" s="35">
        <f t="shared" si="3"/>
        <v>1</v>
      </c>
      <c r="F11" s="101">
        <f ca="1">INDIRECT($K$8&amp;"!ap40")</f>
        <v>0</v>
      </c>
      <c r="H11" s="35" t="s">
        <v>127</v>
      </c>
      <c r="I11" s="35" t="str">
        <f>"("&amp;TEXT($K$11,"yyyy/mm")&amp;")"&amp;"外送手續費"&amp;"("&amp;$K$14&amp;")"</f>
        <v>(2021/01)外送手續費(台北館前路店)</v>
      </c>
      <c r="J11" s="33" t="s">
        <v>126</v>
      </c>
      <c r="K11" s="99">
        <v>44227</v>
      </c>
      <c r="L11" s="35"/>
    </row>
    <row r="12" spans="1:12">
      <c r="A12" s="35">
        <f t="shared" si="0"/>
        <v>1</v>
      </c>
      <c r="B12" s="96">
        <f t="shared" si="1"/>
        <v>44227</v>
      </c>
      <c r="C12" s="35" t="str">
        <f t="shared" si="2"/>
        <v>202101 Sales</v>
      </c>
      <c r="D12" s="35">
        <v>84001</v>
      </c>
      <c r="E12" s="35">
        <f t="shared" si="3"/>
        <v>1</v>
      </c>
      <c r="F12" s="101">
        <f ca="1">-INDIRECT($K$8&amp;"!ao35")</f>
        <v>0</v>
      </c>
      <c r="H12" s="35" t="s">
        <v>120</v>
      </c>
      <c r="I12" s="35" t="str">
        <f>"("&amp;TEXT($K$11,"yyyy/mm")&amp;")"&amp;"外送差額"&amp;"("&amp;$K$14&amp;")"</f>
        <v>(2021/01)外送差額(台北館前路店)</v>
      </c>
      <c r="J12" s="33" t="s">
        <v>56</v>
      </c>
      <c r="K12" s="90"/>
      <c r="L12" s="35" t="s">
        <v>108</v>
      </c>
    </row>
    <row r="13" spans="1:12" ht="17.25" thickBot="1">
      <c r="A13" s="35">
        <f t="shared" si="0"/>
        <v>1</v>
      </c>
      <c r="B13" s="96">
        <f t="shared" si="1"/>
        <v>44227</v>
      </c>
      <c r="C13" s="35" t="str">
        <f t="shared" si="2"/>
        <v>202101 Sales</v>
      </c>
      <c r="D13" s="35">
        <v>51000</v>
      </c>
      <c r="E13" s="35">
        <f t="shared" si="3"/>
        <v>1</v>
      </c>
      <c r="F13" s="67">
        <f ca="1">INDIRECT($K$8&amp;"!r35")</f>
        <v>0</v>
      </c>
      <c r="H13" s="35" t="s">
        <v>52</v>
      </c>
      <c r="I13" s="35" t="str">
        <f>"("&amp;TEXT($K$11,"yyyy/mm")&amp;")"&amp;"客戶/員工折讓"&amp;"("&amp;$K$14&amp;")"</f>
        <v>(2021/01)客戶/員工折讓(台北館前路店)</v>
      </c>
      <c r="J13" s="33" t="s">
        <v>51</v>
      </c>
      <c r="K13" s="95" t="s">
        <v>123</v>
      </c>
      <c r="L13" s="35" t="s">
        <v>109</v>
      </c>
    </row>
    <row r="14" spans="1:12" ht="17.25" thickBot="1">
      <c r="A14" s="35">
        <f t="shared" si="0"/>
        <v>1</v>
      </c>
      <c r="B14" s="96">
        <f t="shared" si="1"/>
        <v>44227</v>
      </c>
      <c r="C14" s="35" t="str">
        <f t="shared" si="2"/>
        <v>202101 Sales</v>
      </c>
      <c r="D14" s="35">
        <v>33600</v>
      </c>
      <c r="E14" s="35">
        <f t="shared" si="3"/>
        <v>1</v>
      </c>
      <c r="F14" s="67">
        <f ca="1">INDIRECT($K$8&amp;"!s35")</f>
        <v>0</v>
      </c>
      <c r="H14" s="35" t="s">
        <v>52</v>
      </c>
      <c r="I14" s="35" t="str">
        <f>"("&amp;TEXT($K$11,"yyyy/mm")&amp;")"&amp;"客戶/員工折讓"&amp;"("&amp;$K$14&amp;")"</f>
        <v>(2021/01)客戶/員工折讓(台北館前路店)</v>
      </c>
      <c r="J14" s="33" t="s">
        <v>53</v>
      </c>
      <c r="K14" s="98" t="s">
        <v>124</v>
      </c>
      <c r="L14" s="35" t="s">
        <v>110</v>
      </c>
    </row>
    <row r="15" spans="1:12">
      <c r="A15" s="35">
        <f t="shared" si="0"/>
        <v>1</v>
      </c>
      <c r="B15" s="96">
        <f t="shared" si="1"/>
        <v>44227</v>
      </c>
      <c r="C15" s="35" t="str">
        <f t="shared" si="2"/>
        <v>202101 Sales</v>
      </c>
      <c r="D15" s="35">
        <v>50000</v>
      </c>
      <c r="E15" s="35">
        <f t="shared" si="3"/>
        <v>1</v>
      </c>
      <c r="G15" s="88">
        <f ca="1">INDIRECT($K$8&amp;"!u35")</f>
        <v>0</v>
      </c>
      <c r="H15" s="35" t="s">
        <v>52</v>
      </c>
      <c r="I15" s="35" t="str">
        <f>"("&amp;TEXT($K$11,"yyyy/mm")&amp;")"&amp;"營業收入"&amp;"("&amp;$K$14&amp;")"</f>
        <v>(2021/01)營業收入(台北館前路店)</v>
      </c>
      <c r="J15" s="33" t="s">
        <v>54</v>
      </c>
      <c r="K15" s="33"/>
      <c r="L15" s="35" t="s">
        <v>111</v>
      </c>
    </row>
    <row r="16" spans="1:12" ht="17.25" thickBot="1">
      <c r="A16" s="35">
        <f t="shared" si="0"/>
        <v>1</v>
      </c>
      <c r="B16" s="96">
        <f t="shared" si="1"/>
        <v>44227</v>
      </c>
      <c r="C16" s="35" t="str">
        <f t="shared" si="2"/>
        <v>202101 Sales</v>
      </c>
      <c r="D16" s="35">
        <v>33600</v>
      </c>
      <c r="E16" s="35">
        <f t="shared" si="3"/>
        <v>1</v>
      </c>
      <c r="G16" s="88">
        <f ca="1">INDIRECT($K$8&amp;"!v35")</f>
        <v>0</v>
      </c>
      <c r="H16" s="35" t="s">
        <v>52</v>
      </c>
      <c r="I16" s="35" t="str">
        <f>"("&amp;TEXT($K$11,"yyyy/mm")&amp;")"&amp;"營業收入"&amp;"("&amp;$K$14&amp;")"</f>
        <v>(2021/01)營業收入(台北館前路店)</v>
      </c>
      <c r="J16" s="33" t="s">
        <v>53</v>
      </c>
      <c r="K16" s="95" t="s">
        <v>125</v>
      </c>
      <c r="L16" s="35" t="s">
        <v>112</v>
      </c>
    </row>
    <row r="17" spans="1:13" ht="15" thickBot="1">
      <c r="A17" s="35">
        <f t="shared" si="0"/>
        <v>1</v>
      </c>
      <c r="B17" s="96">
        <f t="shared" si="1"/>
        <v>44227</v>
      </c>
      <c r="C17" s="35" t="str">
        <f t="shared" si="2"/>
        <v>202101 Sales</v>
      </c>
      <c r="D17" s="35">
        <v>13501</v>
      </c>
      <c r="E17" s="35">
        <f>A17</f>
        <v>1</v>
      </c>
      <c r="H17" s="35"/>
      <c r="I17" s="35" t="str">
        <f>"("&amp;TEXT($K$11,"yyyy/mm")&amp;")"&amp;"營業收入・折價券"&amp;"("&amp;$K$14&amp;")"</f>
        <v>(2021/01)營業收入・折價券(台北館前路店)</v>
      </c>
      <c r="J17" s="33" t="s">
        <v>50</v>
      </c>
      <c r="K17" s="97">
        <v>1</v>
      </c>
      <c r="L17" s="35" t="s">
        <v>113</v>
      </c>
    </row>
    <row r="18" spans="1:13">
      <c r="A18" s="35">
        <f t="shared" si="0"/>
        <v>1</v>
      </c>
      <c r="B18" s="96">
        <f t="shared" si="1"/>
        <v>44227</v>
      </c>
      <c r="C18" s="35" t="str">
        <f t="shared" si="2"/>
        <v>202101 Sales</v>
      </c>
      <c r="D18" s="91">
        <v>51000</v>
      </c>
      <c r="E18" s="35">
        <f t="shared" ref="E18:E22" si="4">A18</f>
        <v>1</v>
      </c>
      <c r="H18" s="91" t="s">
        <v>52</v>
      </c>
      <c r="I18" s="91" t="str">
        <f>"("&amp;TEXT($K$11,"yyyy/mm")&amp;")"&amp;"營業收入・折價券"&amp;"("&amp;$K$14&amp;")"</f>
        <v>(2021/01)營業收入・折價券(台北館前路店)</v>
      </c>
      <c r="J18" s="33" t="s">
        <v>51</v>
      </c>
      <c r="K18" s="33"/>
      <c r="L18" s="35" t="s">
        <v>114</v>
      </c>
    </row>
    <row r="19" spans="1:13">
      <c r="A19" s="35">
        <f t="shared" si="0"/>
        <v>1</v>
      </c>
      <c r="B19" s="96">
        <f t="shared" si="1"/>
        <v>44227</v>
      </c>
      <c r="C19" s="35" t="str">
        <f t="shared" si="2"/>
        <v>202101 Sales</v>
      </c>
      <c r="D19" s="35">
        <v>33600</v>
      </c>
      <c r="E19" s="35">
        <f t="shared" si="4"/>
        <v>1</v>
      </c>
      <c r="H19" s="35" t="s">
        <v>52</v>
      </c>
      <c r="I19" s="35" t="str">
        <f>"("&amp;TEXT($K$11,"yyyy/mm")&amp;")"&amp;"營業收入・折價券"&amp;"("&amp;$K$14&amp;")"</f>
        <v>(2021/01)營業收入・折價券(台北館前路店)</v>
      </c>
      <c r="J19" s="33" t="s">
        <v>53</v>
      </c>
      <c r="K19" s="33"/>
      <c r="L19" s="92" t="s">
        <v>115</v>
      </c>
    </row>
    <row r="20" spans="1:13">
      <c r="A20" s="35">
        <f t="shared" si="0"/>
        <v>1</v>
      </c>
      <c r="B20" s="96">
        <f t="shared" si="1"/>
        <v>44227</v>
      </c>
      <c r="C20" s="35" t="str">
        <f t="shared" si="2"/>
        <v>202101 Sales</v>
      </c>
      <c r="D20" s="35">
        <v>13501</v>
      </c>
      <c r="E20" s="35">
        <f t="shared" si="4"/>
        <v>1</v>
      </c>
      <c r="H20" s="35"/>
      <c r="I20" s="35" t="str">
        <f>"("&amp;TEXT($K$11,"yyyy/mm")&amp;")"&amp;"營業收入・客房服務"&amp;"("&amp;$K$14&amp;")"</f>
        <v>(2021/01)營業收入・客房服務(台北館前路店)</v>
      </c>
      <c r="J20" s="33" t="s">
        <v>50</v>
      </c>
      <c r="K20" s="33"/>
      <c r="L20" s="35" t="s">
        <v>116</v>
      </c>
    </row>
    <row r="21" spans="1:13">
      <c r="A21" s="35">
        <f t="shared" si="0"/>
        <v>1</v>
      </c>
      <c r="B21" s="96">
        <f t="shared" si="1"/>
        <v>44227</v>
      </c>
      <c r="C21" s="35" t="str">
        <f t="shared" si="2"/>
        <v>202101 Sales</v>
      </c>
      <c r="D21" s="91">
        <v>50000</v>
      </c>
      <c r="E21" s="35">
        <f t="shared" si="4"/>
        <v>1</v>
      </c>
      <c r="H21" s="91" t="s">
        <v>52</v>
      </c>
      <c r="I21" s="91" t="str">
        <f>"("&amp;TEXT($K$11,"yyyy/mm")&amp;")"&amp;"營業收入・客房服務"&amp;"("&amp;$K$14&amp;")"</f>
        <v>(2021/01)營業收入・客房服務(台北館前路店)</v>
      </c>
      <c r="J21" s="33" t="s">
        <v>55</v>
      </c>
      <c r="K21" s="33"/>
      <c r="L21" s="35" t="s">
        <v>117</v>
      </c>
    </row>
    <row r="22" spans="1:13" s="34" customFormat="1">
      <c r="A22" s="35">
        <f t="shared" si="0"/>
        <v>1</v>
      </c>
      <c r="B22" s="96">
        <f t="shared" si="1"/>
        <v>44227</v>
      </c>
      <c r="C22" s="35" t="str">
        <f t="shared" si="2"/>
        <v>202101 Sales</v>
      </c>
      <c r="D22" s="91">
        <v>33600</v>
      </c>
      <c r="E22" s="35">
        <f t="shared" si="4"/>
        <v>1</v>
      </c>
      <c r="F22" s="67"/>
      <c r="G22" s="67"/>
      <c r="H22" s="91" t="s">
        <v>52</v>
      </c>
      <c r="I22" s="91" t="str">
        <f>"("&amp;TEXT($K$11,"yyyy/mm")&amp;")"&amp;"營業收入・客房服務"&amp;"("&amp;$K$14&amp;")"</f>
        <v>(2021/01)營業收入・客房服務(台北館前路店)</v>
      </c>
      <c r="J22" s="33" t="s">
        <v>53</v>
      </c>
      <c r="K22" s="33"/>
      <c r="L22" s="35" t="s">
        <v>118</v>
      </c>
      <c r="M22" s="32"/>
    </row>
    <row r="23" spans="1:13">
      <c r="A23" s="35">
        <f t="shared" si="0"/>
        <v>1</v>
      </c>
      <c r="B23" s="96">
        <f t="shared" si="1"/>
        <v>44227</v>
      </c>
      <c r="C23" s="35" t="str">
        <f t="shared" si="2"/>
        <v>202101 Sales</v>
      </c>
      <c r="D23" s="35">
        <v>10000</v>
      </c>
      <c r="E23" s="35">
        <f>A23</f>
        <v>1</v>
      </c>
      <c r="F23" s="105">
        <f ca="1">INDIRECT($K$8&amp;"!ag41")</f>
        <v>0</v>
      </c>
      <c r="G23" s="105"/>
      <c r="H23" s="35"/>
      <c r="I23" s="35" t="str">
        <f>"("&amp;TEXT($K$11,"yyyy/mm")&amp;")"&amp;"現金差額"&amp;"("&amp;$K$14&amp;")"</f>
        <v>(2021/01)現金差額(台北館前路店)</v>
      </c>
      <c r="J23" s="33" t="s">
        <v>48</v>
      </c>
      <c r="K23" s="33"/>
      <c r="L23" s="92" t="s">
        <v>119</v>
      </c>
    </row>
    <row r="24" spans="1:13">
      <c r="A24" s="35">
        <f t="shared" si="0"/>
        <v>1</v>
      </c>
      <c r="B24" s="96">
        <f t="shared" si="1"/>
        <v>44227</v>
      </c>
      <c r="C24" s="35" t="str">
        <f t="shared" si="2"/>
        <v>202101 Sales</v>
      </c>
      <c r="D24" s="91">
        <v>82099</v>
      </c>
      <c r="E24" s="35">
        <f t="shared" ref="E24:E37" si="5">A24</f>
        <v>1</v>
      </c>
      <c r="F24" s="105"/>
      <c r="G24" s="105">
        <f ca="1">INDIRECT($K$8&amp;"!Af41")</f>
        <v>0</v>
      </c>
      <c r="H24" s="91" t="s">
        <v>52</v>
      </c>
      <c r="I24" s="91" t="str">
        <f>"("&amp;TEXT($K$11,"yyyy/mm")&amp;")"&amp;"現金差額"&amp;"("&amp;$K$14&amp;")"</f>
        <v>(2021/01)現金差額(台北館前路店)</v>
      </c>
      <c r="J24" s="33" t="s">
        <v>55</v>
      </c>
      <c r="K24" s="33"/>
      <c r="L24" s="92" t="s">
        <v>121</v>
      </c>
    </row>
    <row r="25" spans="1:13">
      <c r="A25" s="35">
        <f t="shared" si="0"/>
        <v>1</v>
      </c>
      <c r="B25" s="96">
        <f t="shared" si="1"/>
        <v>44227</v>
      </c>
      <c r="C25" s="35" t="str">
        <f t="shared" si="2"/>
        <v>202101 Sales</v>
      </c>
      <c r="D25" s="35">
        <v>33600</v>
      </c>
      <c r="E25" s="35">
        <f t="shared" si="5"/>
        <v>1</v>
      </c>
      <c r="F25" s="105"/>
      <c r="G25" s="105">
        <f ca="1">INDIRECT($K$8&amp;"!ag41")-INDIRECT($K$8&amp;"!Af41")</f>
        <v>0</v>
      </c>
      <c r="H25" s="35" t="s">
        <v>52</v>
      </c>
      <c r="I25" s="35" t="str">
        <f>"("&amp;TEXT($K$11,"yyyy/mm")&amp;")"&amp;"現金差額"&amp;"("&amp;$K$14&amp;")"</f>
        <v>(2021/01)現金差額(台北館前路店)</v>
      </c>
      <c r="J25" s="33" t="s">
        <v>53</v>
      </c>
      <c r="K25" s="33"/>
      <c r="L25" s="92" t="s">
        <v>119</v>
      </c>
    </row>
    <row r="26" spans="1:13">
      <c r="A26" s="35">
        <f t="shared" si="0"/>
        <v>1</v>
      </c>
      <c r="B26" s="96">
        <f t="shared" si="1"/>
        <v>44227</v>
      </c>
      <c r="C26" s="35" t="str">
        <f t="shared" si="2"/>
        <v>202101 Sales</v>
      </c>
      <c r="D26" s="35">
        <v>13501</v>
      </c>
      <c r="E26" s="106">
        <f t="shared" si="5"/>
        <v>1</v>
      </c>
      <c r="F26" s="104">
        <f ca="1">INDIRECT($K$8&amp;"!Ak41")</f>
        <v>0</v>
      </c>
      <c r="G26" s="104"/>
      <c r="H26" s="35"/>
      <c r="I26" s="35" t="str">
        <f>"("&amp;TEXT($K$11,"yyyy/mm")&amp;")"&amp;"信用卡差額"&amp;"("&amp;$K$14&amp;")"</f>
        <v>(2021/01)信用卡差額(台北館前路店)</v>
      </c>
      <c r="J26" s="33" t="s">
        <v>50</v>
      </c>
      <c r="K26" s="33"/>
      <c r="L26" s="92"/>
    </row>
    <row r="27" spans="1:13">
      <c r="A27" s="35">
        <f t="shared" si="0"/>
        <v>1</v>
      </c>
      <c r="B27" s="96">
        <f t="shared" si="1"/>
        <v>44227</v>
      </c>
      <c r="C27" s="35" t="str">
        <f t="shared" si="2"/>
        <v>202101 Sales</v>
      </c>
      <c r="D27" s="35">
        <v>82099</v>
      </c>
      <c r="E27" s="106">
        <f t="shared" si="5"/>
        <v>1</v>
      </c>
      <c r="F27" s="104"/>
      <c r="G27" s="104">
        <f ca="1">INDIRECT($K$8&amp;"!Aj41")</f>
        <v>0</v>
      </c>
      <c r="H27" s="35" t="s">
        <v>52</v>
      </c>
      <c r="I27" s="35" t="str">
        <f>"("&amp;TEXT($K$11,"yyyy/mm")&amp;")"&amp;"信用卡差額"&amp;"("&amp;$K$14&amp;")"</f>
        <v>(2021/01)信用卡差額(台北館前路店)</v>
      </c>
      <c r="J27" s="33" t="s">
        <v>55</v>
      </c>
      <c r="K27" s="33"/>
      <c r="L27" s="92"/>
    </row>
    <row r="28" spans="1:13">
      <c r="A28" s="35">
        <f t="shared" si="0"/>
        <v>1</v>
      </c>
      <c r="B28" s="96">
        <f t="shared" si="1"/>
        <v>44227</v>
      </c>
      <c r="C28" s="35" t="str">
        <f t="shared" si="2"/>
        <v>202101 Sales</v>
      </c>
      <c r="D28" s="35">
        <v>33600</v>
      </c>
      <c r="E28" s="106">
        <f t="shared" si="5"/>
        <v>1</v>
      </c>
      <c r="F28" s="104"/>
      <c r="G28" s="104">
        <f ca="1">INDIRECT($K$8&amp;"!Ak41")-INDIRECT($K$8&amp;"!Aj41")</f>
        <v>0</v>
      </c>
      <c r="H28" s="35" t="s">
        <v>52</v>
      </c>
      <c r="I28" s="35" t="str">
        <f>"("&amp;TEXT($K$11,"yyyy/mm")&amp;")"&amp;"信用卡差額"&amp;"("&amp;$K$14&amp;")"</f>
        <v>(2021/01)信用卡差額(台北館前路店)</v>
      </c>
      <c r="J28" s="33" t="s">
        <v>53</v>
      </c>
      <c r="K28" s="33"/>
      <c r="L28" s="92"/>
    </row>
    <row r="29" spans="1:13">
      <c r="A29" s="35">
        <f t="shared" si="0"/>
        <v>1</v>
      </c>
      <c r="B29" s="96">
        <f t="shared" si="1"/>
        <v>44227</v>
      </c>
      <c r="C29" s="35" t="str">
        <f t="shared" si="2"/>
        <v>202101 Sales</v>
      </c>
      <c r="D29" s="35">
        <v>13501</v>
      </c>
      <c r="E29" s="106">
        <f t="shared" si="5"/>
        <v>1</v>
      </c>
      <c r="F29" s="103">
        <f ca="1">INDIRECT($K$8&amp;"!AI41")</f>
        <v>0</v>
      </c>
      <c r="G29" s="103"/>
      <c r="H29" s="35"/>
      <c r="I29" s="35" t="str">
        <f>"("&amp;TEXT($K$11,"yyyy/mm")&amp;")"&amp;"振興券差額"&amp;"("&amp;$K$14&amp;")"</f>
        <v>(2021/01)振興券差額(台北館前路店)</v>
      </c>
      <c r="J29" s="33" t="s">
        <v>50</v>
      </c>
      <c r="K29" s="33"/>
      <c r="L29" s="92"/>
    </row>
    <row r="30" spans="1:13">
      <c r="A30" s="35">
        <f t="shared" si="0"/>
        <v>1</v>
      </c>
      <c r="B30" s="96">
        <f t="shared" si="1"/>
        <v>44227</v>
      </c>
      <c r="C30" s="35" t="str">
        <f t="shared" si="2"/>
        <v>202101 Sales</v>
      </c>
      <c r="D30" s="91">
        <v>82099</v>
      </c>
      <c r="E30" s="106">
        <f t="shared" si="5"/>
        <v>1</v>
      </c>
      <c r="F30" s="105"/>
      <c r="G30" s="105">
        <f ca="1">INDIRECT($K$8&amp;"!AH41")</f>
        <v>0</v>
      </c>
      <c r="H30" s="91" t="s">
        <v>52</v>
      </c>
      <c r="I30" s="91" t="str">
        <f>"("&amp;TEXT($K$11,"yyyy/mm")&amp;")"&amp;"振興券差額"&amp;"("&amp;$K$14&amp;")"</f>
        <v>(2021/01)振興券差額(台北館前路店)</v>
      </c>
      <c r="J30" s="33" t="s">
        <v>55</v>
      </c>
      <c r="K30" s="33"/>
      <c r="L30" s="92" t="s">
        <v>121</v>
      </c>
    </row>
    <row r="31" spans="1:13">
      <c r="A31" s="35">
        <f t="shared" si="0"/>
        <v>1</v>
      </c>
      <c r="B31" s="96">
        <f t="shared" si="1"/>
        <v>44227</v>
      </c>
      <c r="C31" s="35" t="str">
        <f t="shared" si="2"/>
        <v>202101 Sales</v>
      </c>
      <c r="D31" s="91">
        <v>33600</v>
      </c>
      <c r="E31" s="106">
        <f t="shared" si="5"/>
        <v>1</v>
      </c>
      <c r="F31" s="105"/>
      <c r="G31" s="105">
        <f ca="1">INDIRECT($K$8&amp;"!AI41")-INDIRECT($K$8&amp;"!AH41")</f>
        <v>0</v>
      </c>
      <c r="H31" s="91" t="s">
        <v>52</v>
      </c>
      <c r="I31" s="91" t="str">
        <f>"("&amp;TEXT($K$11,"yyyy/mm")&amp;")"&amp;"振興券差額"&amp;"("&amp;$K$14&amp;")"</f>
        <v>(2021/01)振興券差額(台北館前路店)</v>
      </c>
      <c r="J31" s="33" t="s">
        <v>53</v>
      </c>
      <c r="K31" s="33"/>
      <c r="L31" s="92"/>
    </row>
    <row r="32" spans="1:13">
      <c r="A32" s="35">
        <f t="shared" si="0"/>
        <v>1</v>
      </c>
      <c r="B32" s="96">
        <f t="shared" si="1"/>
        <v>44227</v>
      </c>
      <c r="C32" s="35" t="str">
        <f t="shared" si="2"/>
        <v>202101 Sales</v>
      </c>
      <c r="D32" s="91">
        <v>84001</v>
      </c>
      <c r="E32" s="106">
        <f t="shared" si="5"/>
        <v>1</v>
      </c>
      <c r="F32" s="101">
        <f ca="1">INDIRECT($K$8&amp;"!ag42")</f>
        <v>0</v>
      </c>
      <c r="G32" s="101"/>
      <c r="H32" s="91" t="s">
        <v>120</v>
      </c>
      <c r="I32" s="91" t="str">
        <f>"("&amp;TEXT($K$11,"yyyy/mm")&amp;")"&amp;"現金差額"&amp;"("&amp;$K$14&amp;")"</f>
        <v>(2021/01)現金差額(台北館前路店)</v>
      </c>
      <c r="J32" s="33" t="s">
        <v>56</v>
      </c>
      <c r="K32" s="33"/>
      <c r="L32" s="92"/>
    </row>
    <row r="33" spans="1:13">
      <c r="A33" s="35">
        <f t="shared" si="0"/>
        <v>1</v>
      </c>
      <c r="B33" s="96">
        <f t="shared" si="1"/>
        <v>44227</v>
      </c>
      <c r="C33" s="35" t="str">
        <f t="shared" si="2"/>
        <v>202101 Sales</v>
      </c>
      <c r="D33" s="91">
        <v>10000</v>
      </c>
      <c r="E33" s="106">
        <f t="shared" si="5"/>
        <v>1</v>
      </c>
      <c r="F33" s="101"/>
      <c r="G33" s="101">
        <f ca="1">INDIRECT($K$8&amp;"!ag42")</f>
        <v>0</v>
      </c>
      <c r="H33" s="91"/>
      <c r="I33" s="91" t="str">
        <f>"("&amp;TEXT($K$11,"yyyy/mm")&amp;")"&amp;"現金差額"&amp;"("&amp;$K$14&amp;")"</f>
        <v>(2021/01)現金差額(台北館前路店)</v>
      </c>
      <c r="J33" s="33" t="s">
        <v>48</v>
      </c>
      <c r="K33" s="33"/>
      <c r="L33" s="92"/>
    </row>
    <row r="34" spans="1:13">
      <c r="A34" s="35">
        <f t="shared" si="0"/>
        <v>1</v>
      </c>
      <c r="B34" s="96">
        <f t="shared" si="1"/>
        <v>44227</v>
      </c>
      <c r="C34" s="35" t="str">
        <f t="shared" si="2"/>
        <v>202101 Sales</v>
      </c>
      <c r="D34" s="91">
        <v>84001</v>
      </c>
      <c r="E34" s="106">
        <f t="shared" si="5"/>
        <v>1</v>
      </c>
      <c r="F34" s="102">
        <f ca="1">INDIRECT($K$8&amp;"!Ak42")</f>
        <v>0</v>
      </c>
      <c r="G34" s="102"/>
      <c r="H34" s="91" t="s">
        <v>120</v>
      </c>
      <c r="I34" s="91" t="str">
        <f>"("&amp;TEXT($K$11,"yyyy/mm")&amp;")"&amp;"信用卡差額"&amp;"("&amp;$K$14&amp;")"</f>
        <v>(2021/01)信用卡差額(台北館前路店)</v>
      </c>
      <c r="J34" s="33" t="s">
        <v>56</v>
      </c>
      <c r="K34" s="33"/>
      <c r="L34" s="92"/>
    </row>
    <row r="35" spans="1:13">
      <c r="A35" s="35">
        <f t="shared" si="0"/>
        <v>1</v>
      </c>
      <c r="B35" s="96">
        <f t="shared" si="1"/>
        <v>44227</v>
      </c>
      <c r="C35" s="35" t="str">
        <f t="shared" si="2"/>
        <v>202101 Sales</v>
      </c>
      <c r="D35" s="91">
        <v>13501</v>
      </c>
      <c r="E35" s="106">
        <f t="shared" si="5"/>
        <v>1</v>
      </c>
      <c r="F35" s="102"/>
      <c r="G35" s="102">
        <f ca="1">INDIRECT($K$8&amp;"!Ak42")</f>
        <v>0</v>
      </c>
      <c r="H35" s="91"/>
      <c r="I35" s="91" t="str">
        <f>"("&amp;TEXT($K$11,"yyyy/mm")&amp;")"&amp;"信用卡差額"&amp;"("&amp;$K$14&amp;")"</f>
        <v>(2021/01)信用卡差額(台北館前路店)</v>
      </c>
      <c r="J35" s="33" t="s">
        <v>50</v>
      </c>
      <c r="K35" s="33"/>
      <c r="L35" s="92"/>
    </row>
    <row r="36" spans="1:13">
      <c r="A36" s="35">
        <f t="shared" si="0"/>
        <v>1</v>
      </c>
      <c r="B36" s="96">
        <f t="shared" si="1"/>
        <v>44227</v>
      </c>
      <c r="C36" s="35" t="str">
        <f t="shared" si="2"/>
        <v>202101 Sales</v>
      </c>
      <c r="D36" s="91">
        <v>84001</v>
      </c>
      <c r="E36" s="106">
        <f t="shared" si="5"/>
        <v>1</v>
      </c>
      <c r="F36" s="100">
        <f ca="1">INDIRECT($K$8&amp;"!AI42")</f>
        <v>0</v>
      </c>
      <c r="G36" s="100"/>
      <c r="H36" s="91" t="s">
        <v>120</v>
      </c>
      <c r="I36" s="91" t="str">
        <f>"("&amp;TEXT($K$11,"yyyy/mm")&amp;")"&amp;"振興券差額"&amp;"("&amp;$K$14&amp;")"</f>
        <v>(2021/01)振興券差額(台北館前路店)</v>
      </c>
      <c r="J36" s="33" t="s">
        <v>56</v>
      </c>
      <c r="K36" s="33"/>
      <c r="L36" s="92"/>
    </row>
    <row r="37" spans="1:13">
      <c r="A37" s="35">
        <f t="shared" si="0"/>
        <v>1</v>
      </c>
      <c r="B37" s="96">
        <f t="shared" si="1"/>
        <v>44227</v>
      </c>
      <c r="C37" s="35" t="str">
        <f t="shared" si="2"/>
        <v>202101 Sales</v>
      </c>
      <c r="D37" s="32">
        <v>13501</v>
      </c>
      <c r="E37" s="106">
        <f t="shared" si="5"/>
        <v>1</v>
      </c>
      <c r="F37" s="100"/>
      <c r="G37" s="100">
        <f ca="1">INDIRECT($K$8&amp;"!AI42")</f>
        <v>0</v>
      </c>
      <c r="I37" s="32" t="str">
        <f>"("&amp;TEXT($K$11,"yyyy/mm")&amp;")"&amp;"振興券差額"&amp;"("&amp;$K$14&amp;")"</f>
        <v>(2021/01)振興券差額(台北館前路店)</v>
      </c>
      <c r="J37" s="32" t="s">
        <v>50</v>
      </c>
    </row>
    <row r="38" spans="1:13" ht="99.75">
      <c r="A38" s="34"/>
      <c r="B38" s="34" t="s">
        <v>57</v>
      </c>
      <c r="C38" s="34" t="s">
        <v>58</v>
      </c>
      <c r="D38" s="34" t="s">
        <v>59</v>
      </c>
      <c r="E38" s="34" t="s">
        <v>60</v>
      </c>
      <c r="F38" s="68" t="s">
        <v>75</v>
      </c>
      <c r="G38" s="68" t="s">
        <v>75</v>
      </c>
      <c r="H38" s="34"/>
      <c r="I38" s="34" t="s">
        <v>61</v>
      </c>
      <c r="J38" s="34"/>
      <c r="K38" s="34"/>
      <c r="L38" s="34"/>
      <c r="M38" s="34"/>
    </row>
  </sheetData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792DE-3EB2-441B-A43A-2113F7B61688}">
  <dimension ref="A1:AP43"/>
  <sheetViews>
    <sheetView tabSelected="1" zoomScale="80" zoomScaleNormal="80" workbookViewId="0">
      <pane xSplit="1" ySplit="3" topLeftCell="B29" activePane="bottomRight" state="frozen"/>
      <selection activeCell="AW33" sqref="AW33"/>
      <selection pane="topRight" activeCell="AW33" sqref="AW33"/>
      <selection pane="bottomLeft" activeCell="AW33" sqref="AW33"/>
      <selection pane="bottomRight" activeCell="T35" sqref="T35"/>
    </sheetView>
  </sheetViews>
  <sheetFormatPr defaultColWidth="8.796875" defaultRowHeight="16.5"/>
  <cols>
    <col min="1" max="1" width="16.09765625" style="54" bestFit="1" customWidth="1"/>
    <col min="2" max="13" width="11" style="47" customWidth="1"/>
    <col min="14" max="14" width="13.09765625" style="47" bestFit="1" customWidth="1"/>
    <col min="15" max="15" width="13" style="47" customWidth="1"/>
    <col min="16" max="16" width="13.09765625" style="47" bestFit="1" customWidth="1"/>
    <col min="17" max="20" width="11" style="47" customWidth="1"/>
    <col min="21" max="21" width="13.09765625" style="47" bestFit="1" customWidth="1"/>
    <col min="22" max="22" width="11" style="47" customWidth="1"/>
    <col min="23" max="23" width="13.09765625" style="47" bestFit="1" customWidth="1"/>
    <col min="24" max="24" width="11" style="47" customWidth="1"/>
    <col min="25" max="25" width="10" style="55" customWidth="1"/>
    <col min="26" max="26" width="11.59765625" style="55" customWidth="1"/>
    <col min="27" max="28" width="10.69921875" style="47" customWidth="1"/>
    <col min="29" max="29" width="10.19921875" style="47" bestFit="1" customWidth="1"/>
    <col min="30" max="30" width="13.796875" style="47" bestFit="1" customWidth="1"/>
    <col min="31" max="31" width="13.69921875" style="47" customWidth="1"/>
    <col min="32" max="32" width="10.59765625" style="47" bestFit="1" customWidth="1"/>
    <col min="33" max="33" width="12.5" style="47" bestFit="1" customWidth="1"/>
    <col min="34" max="34" width="13.09765625" style="36" bestFit="1" customWidth="1"/>
    <col min="35" max="36" width="13.09765625" style="1" customWidth="1"/>
    <col min="37" max="37" width="13.59765625" style="1" bestFit="1" customWidth="1"/>
    <col min="38" max="38" width="18.59765625" style="1" customWidth="1"/>
    <col min="39" max="39" width="9" style="1" customWidth="1"/>
    <col min="40" max="40" width="8.69921875" style="1" bestFit="1" customWidth="1"/>
    <col min="41" max="41" width="11.59765625" style="1" bestFit="1" customWidth="1"/>
    <col min="42" max="42" width="8.796875" style="1"/>
    <col min="43" max="16384" width="8.796875" style="36"/>
  </cols>
  <sheetData>
    <row r="1" spans="1:42">
      <c r="A1" s="126" t="s">
        <v>0</v>
      </c>
      <c r="B1" s="115" t="s">
        <v>1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7"/>
      <c r="Y1" s="129" t="s">
        <v>2</v>
      </c>
      <c r="Z1" s="130"/>
      <c r="AA1" s="115" t="s">
        <v>3</v>
      </c>
      <c r="AB1" s="116"/>
      <c r="AC1" s="116"/>
      <c r="AD1" s="116"/>
      <c r="AE1" s="116"/>
      <c r="AF1" s="116"/>
      <c r="AG1" s="116"/>
      <c r="AH1" s="116"/>
      <c r="AI1" s="116"/>
      <c r="AJ1" s="117"/>
      <c r="AK1" s="113" t="s">
        <v>83</v>
      </c>
      <c r="AL1" s="114"/>
      <c r="AM1" s="114"/>
      <c r="AN1" s="114"/>
      <c r="AO1" s="114"/>
      <c r="AP1" s="114"/>
    </row>
    <row r="2" spans="1:42" ht="35.25" customHeight="1">
      <c r="A2" s="127"/>
      <c r="B2" s="115" t="s">
        <v>4</v>
      </c>
      <c r="C2" s="116"/>
      <c r="D2" s="117"/>
      <c r="E2" s="115" t="s">
        <v>5</v>
      </c>
      <c r="F2" s="116"/>
      <c r="G2" s="117"/>
      <c r="H2" s="115" t="s">
        <v>62</v>
      </c>
      <c r="I2" s="116"/>
      <c r="J2" s="117"/>
      <c r="K2" s="115" t="s">
        <v>76</v>
      </c>
      <c r="L2" s="116"/>
      <c r="M2" s="117"/>
      <c r="N2" s="115" t="s">
        <v>63</v>
      </c>
      <c r="O2" s="116"/>
      <c r="P2" s="116"/>
      <c r="Q2" s="117"/>
      <c r="R2" s="115" t="s">
        <v>64</v>
      </c>
      <c r="S2" s="116"/>
      <c r="T2" s="117"/>
      <c r="U2" s="133" t="s">
        <v>65</v>
      </c>
      <c r="V2" s="134"/>
      <c r="W2" s="134"/>
      <c r="X2" s="135"/>
      <c r="Y2" s="131"/>
      <c r="Z2" s="132"/>
      <c r="AA2" s="136" t="s">
        <v>6</v>
      </c>
      <c r="AB2" s="138" t="s">
        <v>7</v>
      </c>
      <c r="AC2" s="140" t="s">
        <v>8</v>
      </c>
      <c r="AD2" s="141"/>
      <c r="AE2" s="57" t="s">
        <v>9</v>
      </c>
      <c r="AF2" s="37" t="s">
        <v>10</v>
      </c>
      <c r="AG2" s="37" t="s">
        <v>91</v>
      </c>
      <c r="AH2" s="118" t="s">
        <v>11</v>
      </c>
      <c r="AI2" s="142" t="s">
        <v>84</v>
      </c>
      <c r="AJ2" s="142" t="s">
        <v>85</v>
      </c>
      <c r="AK2" s="108" t="s">
        <v>93</v>
      </c>
      <c r="AL2" s="109" t="s">
        <v>86</v>
      </c>
      <c r="AM2" s="110" t="s">
        <v>87</v>
      </c>
      <c r="AN2" s="111"/>
      <c r="AO2" s="111"/>
      <c r="AP2" s="112"/>
    </row>
    <row r="3" spans="1:42" ht="35.25" customHeight="1">
      <c r="A3" s="128"/>
      <c r="B3" s="38" t="s">
        <v>12</v>
      </c>
      <c r="C3" s="38" t="s">
        <v>13</v>
      </c>
      <c r="D3" s="39" t="s">
        <v>14</v>
      </c>
      <c r="E3" s="38" t="s">
        <v>15</v>
      </c>
      <c r="F3" s="38" t="s">
        <v>16</v>
      </c>
      <c r="G3" s="39" t="s">
        <v>17</v>
      </c>
      <c r="H3" s="38" t="s">
        <v>66</v>
      </c>
      <c r="I3" s="38" t="s">
        <v>67</v>
      </c>
      <c r="J3" s="39" t="s">
        <v>68</v>
      </c>
      <c r="K3" s="38" t="s">
        <v>77</v>
      </c>
      <c r="L3" s="38" t="s">
        <v>78</v>
      </c>
      <c r="M3" s="39" t="s">
        <v>79</v>
      </c>
      <c r="N3" s="38" t="s">
        <v>80</v>
      </c>
      <c r="O3" s="38" t="s">
        <v>81</v>
      </c>
      <c r="P3" s="38" t="s">
        <v>82</v>
      </c>
      <c r="Q3" s="38" t="s">
        <v>18</v>
      </c>
      <c r="R3" s="38" t="s">
        <v>69</v>
      </c>
      <c r="S3" s="38" t="s">
        <v>70</v>
      </c>
      <c r="T3" s="39" t="s">
        <v>71</v>
      </c>
      <c r="U3" s="40" t="s">
        <v>72</v>
      </c>
      <c r="V3" s="38" t="s">
        <v>73</v>
      </c>
      <c r="W3" s="38" t="s">
        <v>74</v>
      </c>
      <c r="X3" s="38" t="s">
        <v>18</v>
      </c>
      <c r="Y3" s="41" t="s">
        <v>19</v>
      </c>
      <c r="Z3" s="41" t="s">
        <v>20</v>
      </c>
      <c r="AA3" s="137"/>
      <c r="AB3" s="139"/>
      <c r="AC3" s="42" t="s">
        <v>21</v>
      </c>
      <c r="AD3" s="42" t="s">
        <v>22</v>
      </c>
      <c r="AE3" s="42">
        <f>COUNTIF(AE4:AE33,"&lt;&gt;0")</f>
        <v>0</v>
      </c>
      <c r="AF3" s="42">
        <f>COUNTIF(AF4:AF34,"&lt;&gt;0")</f>
        <v>0</v>
      </c>
      <c r="AG3" s="42">
        <f>COUNTIF(AG4:AG34,"&lt;&gt;0")</f>
        <v>0</v>
      </c>
      <c r="AH3" s="119"/>
      <c r="AI3" s="143"/>
      <c r="AJ3" s="143"/>
      <c r="AK3" s="108"/>
      <c r="AL3" s="108"/>
      <c r="AM3" s="60" t="s">
        <v>88</v>
      </c>
      <c r="AN3" s="60" t="s">
        <v>89</v>
      </c>
      <c r="AO3" s="2" t="s">
        <v>90</v>
      </c>
      <c r="AP3" s="60" t="s">
        <v>18</v>
      </c>
    </row>
    <row r="4" spans="1:42" ht="33" customHeight="1">
      <c r="A4" s="107"/>
      <c r="B4" s="3" t="str">
        <f t="shared" ref="B4:B32" si="0">IF(D4=0,"0",ROUND(D4/1.05,0))</f>
        <v>0</v>
      </c>
      <c r="C4" s="3" t="str">
        <f t="shared" ref="C4:C32" si="1">IF(D4=0,"0",ROUND(B4*0.05,0))</f>
        <v>0</v>
      </c>
      <c r="D4" s="69"/>
      <c r="E4" s="43" t="str">
        <f t="shared" ref="E4:E32" si="2">IF(G4=0,"0",ROUND(G4/1.05,0))</f>
        <v>0</v>
      </c>
      <c r="F4" s="43" t="str">
        <f t="shared" ref="F4:F32" si="3">IF(G4=0,"0",ROUND(E4*0.05,0))</f>
        <v>0</v>
      </c>
      <c r="G4" s="69"/>
      <c r="H4" s="3" t="str">
        <f t="shared" ref="H4:H32" si="4">IF(J4=0,"0",ROUND(J4/1.05,0))</f>
        <v>0</v>
      </c>
      <c r="I4" s="3" t="str">
        <f t="shared" ref="I4:I32" si="5">IF(J4=0,"0",ROUND(H4*0.05,0))</f>
        <v>0</v>
      </c>
      <c r="J4" s="69"/>
      <c r="K4" s="3" t="str">
        <f t="shared" ref="K4:K32" si="6">IF(M4=0,"0",ROUND(M4/1.05,0))</f>
        <v>0</v>
      </c>
      <c r="L4" s="3" t="str">
        <f t="shared" ref="L4:L32" si="7">IF(M4=0,"0",ROUND(K4*0.05,0))</f>
        <v>0</v>
      </c>
      <c r="M4" s="44"/>
      <c r="N4" s="43" t="str">
        <f>IF(AND(D4=0,G4=0,J4=0,M4=0),"",B4+E4+H4+K4)</f>
        <v/>
      </c>
      <c r="O4" s="43" t="str">
        <f>IF(N4="","",ROUND(N4*0.05,0))</f>
        <v/>
      </c>
      <c r="P4" s="43" t="str">
        <f>IF(AND(D4="",G4="",J4="",M4=""),"",D4+G4+J4+M4)</f>
        <v/>
      </c>
      <c r="Q4" s="70" t="str">
        <f>IF(P4="","",SUM(N4:O4)-P4)</f>
        <v/>
      </c>
      <c r="R4" s="43" t="str">
        <f t="shared" ref="R4:R32" si="8">IF(T4=0,"0",ROUND(T4/1.05,0))</f>
        <v>0</v>
      </c>
      <c r="S4" s="43" t="str">
        <f t="shared" ref="S4:S32" si="9">IF(T4=0,"0",ROUND(R4*0.05,0))</f>
        <v>0</v>
      </c>
      <c r="T4" s="71"/>
      <c r="U4" s="45" t="str">
        <f>IF(OR(N4="",R4=""),"",N4+R4)</f>
        <v/>
      </c>
      <c r="V4" s="43" t="str">
        <f>IF(OR(O4="",S4=""),"",O4+S4)</f>
        <v/>
      </c>
      <c r="W4" s="43" t="str">
        <f>IF(AND(P4="",T4=""),"",P4+T4)</f>
        <v/>
      </c>
      <c r="X4" s="43" t="str">
        <f>IF(W4="","",SUM(U4:V4)-W4)</f>
        <v/>
      </c>
      <c r="Y4" s="46" t="e">
        <f t="shared" ref="Y4:Y34" si="10">IF(B4="","",(B4)/N4)</f>
        <v>#VALUE!</v>
      </c>
      <c r="Z4" s="46" t="e">
        <f t="shared" ref="Z4:Z35" si="11">IF(E4="","",E4/N4)</f>
        <v>#VALUE!</v>
      </c>
      <c r="AA4" s="59" t="str">
        <f>IF(AND(D4="",M4=""),"",D4+M4)</f>
        <v/>
      </c>
      <c r="AB4" s="43">
        <v>52800</v>
      </c>
      <c r="AC4" s="3"/>
      <c r="AD4" s="3"/>
      <c r="AE4" s="44">
        <v>0</v>
      </c>
      <c r="AF4" s="44">
        <v>0</v>
      </c>
      <c r="AG4" s="44">
        <v>0</v>
      </c>
      <c r="AH4" s="43" t="str">
        <f>IF(OR(AA4="",AB4="",AF4=""),"",SUM(AA4:AF4))</f>
        <v/>
      </c>
      <c r="AI4" s="3" t="str">
        <f>IF(M4="","",M4)</f>
        <v/>
      </c>
      <c r="AJ4" s="3" t="str">
        <f>IF(AND(AH4="",AI4=""),"",AH4-AI4)</f>
        <v/>
      </c>
      <c r="AK4" s="3" t="str">
        <f>IF(J4="","",J4)</f>
        <v/>
      </c>
      <c r="AL4" s="30">
        <f>J4</f>
        <v>0</v>
      </c>
      <c r="AM4" s="3" t="str">
        <f>IF(AO4="","",ROUND(AO4/1.05,0))</f>
        <v/>
      </c>
      <c r="AN4" s="3" t="str">
        <f>IF(AM4="","",ROUND(AO4*0.05,0))</f>
        <v/>
      </c>
      <c r="AO4" s="3" t="str">
        <f t="shared" ref="AO4:AO34" si="12">IF(AK4="","",AK4-AL4)</f>
        <v/>
      </c>
      <c r="AP4" s="3" t="str">
        <f>IF(AO4="","",SUM(AM4:AN4)-AO4)</f>
        <v/>
      </c>
    </row>
    <row r="5" spans="1:42" ht="33" customHeight="1">
      <c r="A5" s="107"/>
      <c r="B5" s="3" t="str">
        <f t="shared" si="0"/>
        <v>0</v>
      </c>
      <c r="C5" s="3" t="str">
        <f t="shared" si="1"/>
        <v>0</v>
      </c>
      <c r="D5" s="69"/>
      <c r="E5" s="43" t="str">
        <f t="shared" si="2"/>
        <v>0</v>
      </c>
      <c r="F5" s="43" t="str">
        <f t="shared" si="3"/>
        <v>0</v>
      </c>
      <c r="G5" s="69"/>
      <c r="H5" s="3" t="str">
        <f t="shared" si="4"/>
        <v>0</v>
      </c>
      <c r="I5" s="3" t="str">
        <f t="shared" si="5"/>
        <v>0</v>
      </c>
      <c r="J5" s="69"/>
      <c r="K5" s="3" t="str">
        <f t="shared" si="6"/>
        <v>0</v>
      </c>
      <c r="L5" s="3" t="str">
        <f t="shared" si="7"/>
        <v>0</v>
      </c>
      <c r="M5" s="44"/>
      <c r="N5" s="43" t="str">
        <f t="shared" ref="N5:N34" si="13">IF(AND(D5=0,G5=0,J5=0,M5=0),"",B5+E5+H5+K5)</f>
        <v/>
      </c>
      <c r="O5" s="43" t="str">
        <f t="shared" ref="O5:O34" si="14">IF(N5="","",ROUND(N5*0.05,0))</f>
        <v/>
      </c>
      <c r="P5" s="43" t="str">
        <f t="shared" ref="P5:P34" si="15">IF(AND(D5="",G5="",J5="",M5=""),"",D5+G5+J5+M5)</f>
        <v/>
      </c>
      <c r="Q5" s="70" t="str">
        <f t="shared" ref="Q5:Q34" si="16">IF(P5="","",SUM(N5:O5)-P5)</f>
        <v/>
      </c>
      <c r="R5" s="43" t="str">
        <f t="shared" si="8"/>
        <v>0</v>
      </c>
      <c r="S5" s="43" t="str">
        <f t="shared" si="9"/>
        <v>0</v>
      </c>
      <c r="T5" s="71"/>
      <c r="U5" s="45" t="str">
        <f t="shared" ref="U5:V33" si="17">IF(OR(N5="",R5=""),"",N5+R5)</f>
        <v/>
      </c>
      <c r="V5" s="43" t="str">
        <f t="shared" si="17"/>
        <v/>
      </c>
      <c r="W5" s="43" t="str">
        <f t="shared" ref="W5:W34" si="18">IF(AND(P5="",T5=""),"",P5+T5)</f>
        <v/>
      </c>
      <c r="X5" s="43" t="str">
        <f t="shared" ref="X5:X34" si="19">IF(W5="","",SUM(U5:V5)-W5)</f>
        <v/>
      </c>
      <c r="Y5" s="46" t="e">
        <f t="shared" si="10"/>
        <v>#VALUE!</v>
      </c>
      <c r="Z5" s="46" t="e">
        <f t="shared" si="11"/>
        <v>#VALUE!</v>
      </c>
      <c r="AA5" s="59" t="str">
        <f t="shared" ref="AA5:AA34" si="20">IF(AND(D5="",M5=""),"",D5+M5)</f>
        <v/>
      </c>
      <c r="AB5" s="43">
        <v>52800</v>
      </c>
      <c r="AC5" s="3"/>
      <c r="AD5" s="3"/>
      <c r="AE5" s="44">
        <v>0</v>
      </c>
      <c r="AF5" s="44">
        <v>0</v>
      </c>
      <c r="AG5" s="44">
        <v>0</v>
      </c>
      <c r="AH5" s="43" t="str">
        <f t="shared" ref="AH5:AH34" si="21">IF(OR(AA5="",AB5="",AF5=""),"",SUM(AA5:AF5))</f>
        <v/>
      </c>
      <c r="AI5" s="3" t="str">
        <f t="shared" ref="AI5:AI33" si="22">IF(M5="","",M5)</f>
        <v/>
      </c>
      <c r="AJ5" s="3" t="str">
        <f t="shared" ref="AJ5:AJ34" si="23">IF(AND(AH5="",AI5=""),"",AH5-AI5)</f>
        <v/>
      </c>
      <c r="AK5" s="3" t="str">
        <f>IF(J5="","",J5)</f>
        <v/>
      </c>
      <c r="AL5" s="30">
        <f>J5</f>
        <v>0</v>
      </c>
      <c r="AM5" s="3" t="str">
        <f t="shared" ref="AM5:AM34" si="24">IF(AO5="","",ROUND(AO5/1.05,0))</f>
        <v/>
      </c>
      <c r="AN5" s="3" t="str">
        <f t="shared" ref="AN5:AN34" si="25">IF(AM5="","",ROUND(AO5*0.05,0))</f>
        <v/>
      </c>
      <c r="AO5" s="3" t="str">
        <f t="shared" si="12"/>
        <v/>
      </c>
      <c r="AP5" s="3" t="str">
        <f t="shared" ref="AP5:AP34" si="26">IF(AO5="","",SUM(AM5:AN5)-AO5)</f>
        <v/>
      </c>
    </row>
    <row r="6" spans="1:42" ht="33" customHeight="1">
      <c r="A6" s="107"/>
      <c r="B6" s="3" t="str">
        <f t="shared" si="0"/>
        <v>0</v>
      </c>
      <c r="C6" s="3" t="str">
        <f t="shared" si="1"/>
        <v>0</v>
      </c>
      <c r="D6" s="69"/>
      <c r="E6" s="43" t="str">
        <f t="shared" si="2"/>
        <v>0</v>
      </c>
      <c r="F6" s="43" t="str">
        <f t="shared" si="3"/>
        <v>0</v>
      </c>
      <c r="G6" s="69"/>
      <c r="H6" s="3" t="str">
        <f t="shared" si="4"/>
        <v>0</v>
      </c>
      <c r="I6" s="3" t="str">
        <f t="shared" si="5"/>
        <v>0</v>
      </c>
      <c r="J6" s="69"/>
      <c r="K6" s="3" t="str">
        <f t="shared" si="6"/>
        <v>0</v>
      </c>
      <c r="L6" s="3" t="str">
        <f t="shared" si="7"/>
        <v>0</v>
      </c>
      <c r="M6" s="44"/>
      <c r="N6" s="43" t="str">
        <f t="shared" si="13"/>
        <v/>
      </c>
      <c r="O6" s="43" t="str">
        <f t="shared" si="14"/>
        <v/>
      </c>
      <c r="P6" s="43" t="str">
        <f t="shared" si="15"/>
        <v/>
      </c>
      <c r="Q6" s="70" t="str">
        <f t="shared" si="16"/>
        <v/>
      </c>
      <c r="R6" s="43" t="str">
        <f t="shared" si="8"/>
        <v>0</v>
      </c>
      <c r="S6" s="43" t="str">
        <f t="shared" si="9"/>
        <v>0</v>
      </c>
      <c r="T6" s="71"/>
      <c r="U6" s="45" t="str">
        <f t="shared" si="17"/>
        <v/>
      </c>
      <c r="V6" s="43" t="str">
        <f t="shared" si="17"/>
        <v/>
      </c>
      <c r="W6" s="43" t="str">
        <f t="shared" si="18"/>
        <v/>
      </c>
      <c r="X6" s="43" t="str">
        <f t="shared" si="19"/>
        <v/>
      </c>
      <c r="Y6" s="46" t="e">
        <f t="shared" si="10"/>
        <v>#VALUE!</v>
      </c>
      <c r="Z6" s="46" t="e">
        <f t="shared" si="11"/>
        <v>#VALUE!</v>
      </c>
      <c r="AA6" s="59" t="str">
        <f t="shared" si="20"/>
        <v/>
      </c>
      <c r="AB6" s="43">
        <v>52800</v>
      </c>
      <c r="AC6" s="3"/>
      <c r="AD6" s="3"/>
      <c r="AE6" s="44">
        <v>0</v>
      </c>
      <c r="AF6" s="44">
        <v>0</v>
      </c>
      <c r="AG6" s="44">
        <v>0</v>
      </c>
      <c r="AH6" s="43" t="str">
        <f t="shared" si="21"/>
        <v/>
      </c>
      <c r="AI6" s="3" t="str">
        <f t="shared" si="22"/>
        <v/>
      </c>
      <c r="AJ6" s="3" t="str">
        <f t="shared" si="23"/>
        <v/>
      </c>
      <c r="AK6" s="3" t="str">
        <f t="shared" ref="AK6:AK34" si="27">IF(J6="","",J6)</f>
        <v/>
      </c>
      <c r="AL6" s="30">
        <f t="shared" ref="AL6:AL34" si="28">J6</f>
        <v>0</v>
      </c>
      <c r="AM6" s="3" t="str">
        <f t="shared" si="24"/>
        <v/>
      </c>
      <c r="AN6" s="3" t="str">
        <f t="shared" si="25"/>
        <v/>
      </c>
      <c r="AO6" s="3" t="str">
        <f t="shared" si="12"/>
        <v/>
      </c>
      <c r="AP6" s="3" t="str">
        <f t="shared" si="26"/>
        <v/>
      </c>
    </row>
    <row r="7" spans="1:42" ht="33" customHeight="1">
      <c r="A7" s="107"/>
      <c r="B7" s="3" t="str">
        <f t="shared" si="0"/>
        <v>0</v>
      </c>
      <c r="C7" s="3" t="str">
        <f t="shared" si="1"/>
        <v>0</v>
      </c>
      <c r="D7" s="69"/>
      <c r="E7" s="43" t="str">
        <f t="shared" si="2"/>
        <v>0</v>
      </c>
      <c r="F7" s="43" t="str">
        <f t="shared" si="3"/>
        <v>0</v>
      </c>
      <c r="G7" s="69"/>
      <c r="H7" s="3" t="str">
        <f t="shared" si="4"/>
        <v>0</v>
      </c>
      <c r="I7" s="3" t="str">
        <f t="shared" si="5"/>
        <v>0</v>
      </c>
      <c r="J7" s="69"/>
      <c r="K7" s="3" t="str">
        <f t="shared" si="6"/>
        <v>0</v>
      </c>
      <c r="L7" s="3" t="str">
        <f t="shared" si="7"/>
        <v>0</v>
      </c>
      <c r="M7" s="44"/>
      <c r="N7" s="43" t="str">
        <f t="shared" si="13"/>
        <v/>
      </c>
      <c r="O7" s="43" t="str">
        <f>IF(N7="","",ROUND(N7*0.05,0))</f>
        <v/>
      </c>
      <c r="P7" s="43" t="str">
        <f t="shared" si="15"/>
        <v/>
      </c>
      <c r="Q7" s="70" t="str">
        <f t="shared" si="16"/>
        <v/>
      </c>
      <c r="R7" s="43" t="str">
        <f t="shared" si="8"/>
        <v>0</v>
      </c>
      <c r="S7" s="43" t="str">
        <f t="shared" si="9"/>
        <v>0</v>
      </c>
      <c r="T7" s="71"/>
      <c r="U7" s="45" t="str">
        <f t="shared" si="17"/>
        <v/>
      </c>
      <c r="V7" s="43" t="str">
        <f t="shared" si="17"/>
        <v/>
      </c>
      <c r="W7" s="43" t="str">
        <f t="shared" si="18"/>
        <v/>
      </c>
      <c r="X7" s="43" t="str">
        <f t="shared" si="19"/>
        <v/>
      </c>
      <c r="Y7" s="46" t="e">
        <f t="shared" si="10"/>
        <v>#VALUE!</v>
      </c>
      <c r="Z7" s="46" t="e">
        <f t="shared" si="11"/>
        <v>#VALUE!</v>
      </c>
      <c r="AA7" s="59" t="str">
        <f t="shared" si="20"/>
        <v/>
      </c>
      <c r="AB7" s="43">
        <v>52800</v>
      </c>
      <c r="AC7" s="3"/>
      <c r="AD7" s="3"/>
      <c r="AE7" s="44">
        <v>0</v>
      </c>
      <c r="AF7" s="44">
        <v>0</v>
      </c>
      <c r="AG7" s="44">
        <v>0</v>
      </c>
      <c r="AH7" s="43" t="str">
        <f t="shared" si="21"/>
        <v/>
      </c>
      <c r="AI7" s="3" t="str">
        <f t="shared" si="22"/>
        <v/>
      </c>
      <c r="AJ7" s="3" t="str">
        <f t="shared" si="23"/>
        <v/>
      </c>
      <c r="AK7" s="3" t="str">
        <f t="shared" si="27"/>
        <v/>
      </c>
      <c r="AL7" s="30">
        <f t="shared" si="28"/>
        <v>0</v>
      </c>
      <c r="AM7" s="3" t="str">
        <f t="shared" si="24"/>
        <v/>
      </c>
      <c r="AN7" s="3" t="str">
        <f t="shared" si="25"/>
        <v/>
      </c>
      <c r="AO7" s="3" t="str">
        <f t="shared" si="12"/>
        <v/>
      </c>
      <c r="AP7" s="3" t="str">
        <f t="shared" si="26"/>
        <v/>
      </c>
    </row>
    <row r="8" spans="1:42" ht="33" customHeight="1">
      <c r="A8" s="107"/>
      <c r="B8" s="3" t="str">
        <f t="shared" si="0"/>
        <v>0</v>
      </c>
      <c r="C8" s="3" t="str">
        <f t="shared" si="1"/>
        <v>0</v>
      </c>
      <c r="D8" s="69"/>
      <c r="E8" s="43" t="str">
        <f t="shared" si="2"/>
        <v>0</v>
      </c>
      <c r="F8" s="43" t="str">
        <f t="shared" si="3"/>
        <v>0</v>
      </c>
      <c r="G8" s="69"/>
      <c r="H8" s="3" t="str">
        <f t="shared" si="4"/>
        <v>0</v>
      </c>
      <c r="I8" s="3" t="str">
        <f t="shared" si="5"/>
        <v>0</v>
      </c>
      <c r="J8" s="69"/>
      <c r="K8" s="3" t="str">
        <f t="shared" si="6"/>
        <v>0</v>
      </c>
      <c r="L8" s="3" t="str">
        <f t="shared" si="7"/>
        <v>0</v>
      </c>
      <c r="M8" s="44"/>
      <c r="N8" s="43" t="str">
        <f t="shared" si="13"/>
        <v/>
      </c>
      <c r="O8" s="43" t="str">
        <f t="shared" si="14"/>
        <v/>
      </c>
      <c r="P8" s="43" t="str">
        <f t="shared" si="15"/>
        <v/>
      </c>
      <c r="Q8" s="70" t="str">
        <f t="shared" si="16"/>
        <v/>
      </c>
      <c r="R8" s="43" t="str">
        <f t="shared" si="8"/>
        <v>0</v>
      </c>
      <c r="S8" s="43" t="str">
        <f t="shared" si="9"/>
        <v>0</v>
      </c>
      <c r="T8" s="71"/>
      <c r="U8" s="45" t="str">
        <f t="shared" si="17"/>
        <v/>
      </c>
      <c r="V8" s="43" t="str">
        <f t="shared" si="17"/>
        <v/>
      </c>
      <c r="W8" s="43" t="str">
        <f t="shared" si="18"/>
        <v/>
      </c>
      <c r="X8" s="43" t="str">
        <f t="shared" si="19"/>
        <v/>
      </c>
      <c r="Y8" s="46" t="e">
        <f t="shared" si="10"/>
        <v>#VALUE!</v>
      </c>
      <c r="Z8" s="46" t="e">
        <f t="shared" si="11"/>
        <v>#VALUE!</v>
      </c>
      <c r="AA8" s="59" t="str">
        <f t="shared" si="20"/>
        <v/>
      </c>
      <c r="AB8" s="43">
        <v>52800</v>
      </c>
      <c r="AC8" s="3"/>
      <c r="AD8" s="3"/>
      <c r="AE8" s="44">
        <v>0</v>
      </c>
      <c r="AF8" s="44">
        <v>0</v>
      </c>
      <c r="AG8" s="44">
        <v>0</v>
      </c>
      <c r="AH8" s="43" t="str">
        <f t="shared" si="21"/>
        <v/>
      </c>
      <c r="AI8" s="3" t="str">
        <f t="shared" si="22"/>
        <v/>
      </c>
      <c r="AJ8" s="3" t="str">
        <f t="shared" si="23"/>
        <v/>
      </c>
      <c r="AK8" s="3" t="str">
        <f t="shared" si="27"/>
        <v/>
      </c>
      <c r="AL8" s="30">
        <f t="shared" si="28"/>
        <v>0</v>
      </c>
      <c r="AM8" s="3" t="str">
        <f t="shared" si="24"/>
        <v/>
      </c>
      <c r="AN8" s="3" t="str">
        <f t="shared" si="25"/>
        <v/>
      </c>
      <c r="AO8" s="3" t="str">
        <f t="shared" si="12"/>
        <v/>
      </c>
      <c r="AP8" s="3" t="str">
        <f t="shared" si="26"/>
        <v/>
      </c>
    </row>
    <row r="9" spans="1:42" ht="33" customHeight="1">
      <c r="A9" s="107"/>
      <c r="B9" s="3" t="str">
        <f t="shared" si="0"/>
        <v>0</v>
      </c>
      <c r="C9" s="3" t="str">
        <f t="shared" si="1"/>
        <v>0</v>
      </c>
      <c r="D9" s="69"/>
      <c r="E9" s="43" t="str">
        <f t="shared" si="2"/>
        <v>0</v>
      </c>
      <c r="F9" s="43" t="str">
        <f t="shared" si="3"/>
        <v>0</v>
      </c>
      <c r="G9" s="69"/>
      <c r="H9" s="3" t="str">
        <f t="shared" si="4"/>
        <v>0</v>
      </c>
      <c r="I9" s="3" t="str">
        <f t="shared" si="5"/>
        <v>0</v>
      </c>
      <c r="J9" s="69"/>
      <c r="K9" s="3" t="str">
        <f t="shared" si="6"/>
        <v>0</v>
      </c>
      <c r="L9" s="3" t="str">
        <f t="shared" si="7"/>
        <v>0</v>
      </c>
      <c r="M9" s="44"/>
      <c r="N9" s="43" t="str">
        <f t="shared" si="13"/>
        <v/>
      </c>
      <c r="O9" s="43" t="str">
        <f t="shared" si="14"/>
        <v/>
      </c>
      <c r="P9" s="43" t="str">
        <f t="shared" si="15"/>
        <v/>
      </c>
      <c r="Q9" s="70" t="str">
        <f t="shared" si="16"/>
        <v/>
      </c>
      <c r="R9" s="43" t="str">
        <f t="shared" si="8"/>
        <v>0</v>
      </c>
      <c r="S9" s="43" t="str">
        <f t="shared" si="9"/>
        <v>0</v>
      </c>
      <c r="T9" s="71"/>
      <c r="U9" s="45" t="str">
        <f t="shared" si="17"/>
        <v/>
      </c>
      <c r="V9" s="43" t="str">
        <f t="shared" si="17"/>
        <v/>
      </c>
      <c r="W9" s="43" t="str">
        <f t="shared" si="18"/>
        <v/>
      </c>
      <c r="X9" s="43" t="str">
        <f t="shared" si="19"/>
        <v/>
      </c>
      <c r="Y9" s="46" t="e">
        <f t="shared" si="10"/>
        <v>#VALUE!</v>
      </c>
      <c r="Z9" s="46" t="e">
        <f t="shared" si="11"/>
        <v>#VALUE!</v>
      </c>
      <c r="AA9" s="59" t="str">
        <f t="shared" si="20"/>
        <v/>
      </c>
      <c r="AB9" s="43">
        <v>52800</v>
      </c>
      <c r="AC9" s="3"/>
      <c r="AD9" s="3"/>
      <c r="AE9" s="44">
        <v>0</v>
      </c>
      <c r="AF9" s="44">
        <v>0</v>
      </c>
      <c r="AG9" s="44">
        <v>0</v>
      </c>
      <c r="AH9" s="43" t="str">
        <f t="shared" si="21"/>
        <v/>
      </c>
      <c r="AI9" s="3" t="str">
        <f t="shared" si="22"/>
        <v/>
      </c>
      <c r="AJ9" s="3" t="str">
        <f t="shared" si="23"/>
        <v/>
      </c>
      <c r="AK9" s="3" t="str">
        <f t="shared" si="27"/>
        <v/>
      </c>
      <c r="AL9" s="30">
        <f t="shared" si="28"/>
        <v>0</v>
      </c>
      <c r="AM9" s="3" t="str">
        <f t="shared" si="24"/>
        <v/>
      </c>
      <c r="AN9" s="3" t="str">
        <f t="shared" si="25"/>
        <v/>
      </c>
      <c r="AO9" s="3" t="str">
        <f t="shared" si="12"/>
        <v/>
      </c>
      <c r="AP9" s="3" t="str">
        <f t="shared" si="26"/>
        <v/>
      </c>
    </row>
    <row r="10" spans="1:42" ht="33" customHeight="1">
      <c r="A10" s="107"/>
      <c r="B10" s="3" t="str">
        <f t="shared" si="0"/>
        <v>0</v>
      </c>
      <c r="C10" s="3" t="str">
        <f t="shared" si="1"/>
        <v>0</v>
      </c>
      <c r="D10" s="69"/>
      <c r="E10" s="43" t="str">
        <f t="shared" si="2"/>
        <v>0</v>
      </c>
      <c r="F10" s="43" t="str">
        <f t="shared" si="3"/>
        <v>0</v>
      </c>
      <c r="G10" s="69"/>
      <c r="H10" s="3" t="str">
        <f t="shared" si="4"/>
        <v>0</v>
      </c>
      <c r="I10" s="3" t="str">
        <f t="shared" si="5"/>
        <v>0</v>
      </c>
      <c r="J10" s="69"/>
      <c r="K10" s="3" t="str">
        <f t="shared" si="6"/>
        <v>0</v>
      </c>
      <c r="L10" s="3" t="str">
        <f t="shared" si="7"/>
        <v>0</v>
      </c>
      <c r="M10" s="44"/>
      <c r="N10" s="43" t="str">
        <f t="shared" si="13"/>
        <v/>
      </c>
      <c r="O10" s="43" t="str">
        <f t="shared" si="14"/>
        <v/>
      </c>
      <c r="P10" s="43" t="str">
        <f t="shared" si="15"/>
        <v/>
      </c>
      <c r="Q10" s="70" t="str">
        <f t="shared" si="16"/>
        <v/>
      </c>
      <c r="R10" s="43" t="str">
        <f t="shared" si="8"/>
        <v>0</v>
      </c>
      <c r="S10" s="43" t="str">
        <f t="shared" si="9"/>
        <v>0</v>
      </c>
      <c r="T10" s="71"/>
      <c r="U10" s="45" t="str">
        <f t="shared" si="17"/>
        <v/>
      </c>
      <c r="V10" s="43" t="str">
        <f t="shared" si="17"/>
        <v/>
      </c>
      <c r="W10" s="43" t="str">
        <f t="shared" si="18"/>
        <v/>
      </c>
      <c r="X10" s="43" t="str">
        <f t="shared" si="19"/>
        <v/>
      </c>
      <c r="Y10" s="46" t="e">
        <f t="shared" si="10"/>
        <v>#VALUE!</v>
      </c>
      <c r="Z10" s="46" t="e">
        <f t="shared" si="11"/>
        <v>#VALUE!</v>
      </c>
      <c r="AA10" s="59" t="str">
        <f t="shared" si="20"/>
        <v/>
      </c>
      <c r="AB10" s="43">
        <v>52800</v>
      </c>
      <c r="AC10" s="3"/>
      <c r="AD10" s="3"/>
      <c r="AE10" s="44">
        <v>0</v>
      </c>
      <c r="AF10" s="44">
        <v>0</v>
      </c>
      <c r="AG10" s="44">
        <v>0</v>
      </c>
      <c r="AH10" s="43" t="str">
        <f t="shared" si="21"/>
        <v/>
      </c>
      <c r="AI10" s="3" t="str">
        <f t="shared" si="22"/>
        <v/>
      </c>
      <c r="AJ10" s="3" t="str">
        <f t="shared" si="23"/>
        <v/>
      </c>
      <c r="AK10" s="3" t="str">
        <f t="shared" si="27"/>
        <v/>
      </c>
      <c r="AL10" s="30">
        <f t="shared" si="28"/>
        <v>0</v>
      </c>
      <c r="AM10" s="3" t="str">
        <f t="shared" si="24"/>
        <v/>
      </c>
      <c r="AN10" s="3" t="str">
        <f>IF(AM10="","",ROUND(AO10*0.05,0))</f>
        <v/>
      </c>
      <c r="AO10" s="3" t="str">
        <f t="shared" si="12"/>
        <v/>
      </c>
      <c r="AP10" s="3" t="str">
        <f t="shared" si="26"/>
        <v/>
      </c>
    </row>
    <row r="11" spans="1:42" ht="33" customHeight="1">
      <c r="A11" s="107"/>
      <c r="B11" s="3" t="str">
        <f t="shared" si="0"/>
        <v>0</v>
      </c>
      <c r="C11" s="3" t="str">
        <f t="shared" si="1"/>
        <v>0</v>
      </c>
      <c r="D11" s="69"/>
      <c r="E11" s="43" t="str">
        <f t="shared" si="2"/>
        <v>0</v>
      </c>
      <c r="F11" s="43" t="str">
        <f t="shared" si="3"/>
        <v>0</v>
      </c>
      <c r="G11" s="69"/>
      <c r="H11" s="3" t="str">
        <f t="shared" si="4"/>
        <v>0</v>
      </c>
      <c r="I11" s="3" t="str">
        <f t="shared" si="5"/>
        <v>0</v>
      </c>
      <c r="J11" s="69"/>
      <c r="K11" s="3" t="str">
        <f t="shared" si="6"/>
        <v>0</v>
      </c>
      <c r="L11" s="3" t="str">
        <f t="shared" si="7"/>
        <v>0</v>
      </c>
      <c r="M11" s="44"/>
      <c r="N11" s="43" t="str">
        <f t="shared" si="13"/>
        <v/>
      </c>
      <c r="O11" s="43" t="str">
        <f t="shared" si="14"/>
        <v/>
      </c>
      <c r="P11" s="43" t="str">
        <f t="shared" si="15"/>
        <v/>
      </c>
      <c r="Q11" s="70" t="str">
        <f t="shared" si="16"/>
        <v/>
      </c>
      <c r="R11" s="43" t="str">
        <f t="shared" si="8"/>
        <v>0</v>
      </c>
      <c r="S11" s="43" t="str">
        <f t="shared" si="9"/>
        <v>0</v>
      </c>
      <c r="T11" s="71"/>
      <c r="U11" s="45" t="str">
        <f t="shared" si="17"/>
        <v/>
      </c>
      <c r="V11" s="43" t="str">
        <f t="shared" si="17"/>
        <v/>
      </c>
      <c r="W11" s="43" t="str">
        <f t="shared" si="18"/>
        <v/>
      </c>
      <c r="X11" s="43" t="str">
        <f t="shared" si="19"/>
        <v/>
      </c>
      <c r="Y11" s="46" t="e">
        <f t="shared" si="10"/>
        <v>#VALUE!</v>
      </c>
      <c r="Z11" s="46" t="e">
        <f t="shared" si="11"/>
        <v>#VALUE!</v>
      </c>
      <c r="AA11" s="59" t="str">
        <f t="shared" si="20"/>
        <v/>
      </c>
      <c r="AB11" s="43">
        <v>52800</v>
      </c>
      <c r="AC11" s="3"/>
      <c r="AD11" s="3"/>
      <c r="AE11" s="44">
        <v>0</v>
      </c>
      <c r="AF11" s="44">
        <v>0</v>
      </c>
      <c r="AG11" s="44">
        <v>0</v>
      </c>
      <c r="AH11" s="43" t="str">
        <f t="shared" si="21"/>
        <v/>
      </c>
      <c r="AI11" s="3" t="str">
        <f t="shared" si="22"/>
        <v/>
      </c>
      <c r="AJ11" s="3" t="str">
        <f t="shared" si="23"/>
        <v/>
      </c>
      <c r="AK11" s="3" t="str">
        <f t="shared" si="27"/>
        <v/>
      </c>
      <c r="AL11" s="30">
        <f t="shared" si="28"/>
        <v>0</v>
      </c>
      <c r="AM11" s="3" t="str">
        <f t="shared" si="24"/>
        <v/>
      </c>
      <c r="AN11" s="3" t="str">
        <f t="shared" si="25"/>
        <v/>
      </c>
      <c r="AO11" s="3" t="str">
        <f t="shared" si="12"/>
        <v/>
      </c>
      <c r="AP11" s="3" t="str">
        <f t="shared" si="26"/>
        <v/>
      </c>
    </row>
    <row r="12" spans="1:42" ht="33" customHeight="1">
      <c r="A12" s="107"/>
      <c r="B12" s="3" t="str">
        <f t="shared" si="0"/>
        <v>0</v>
      </c>
      <c r="C12" s="3" t="str">
        <f t="shared" si="1"/>
        <v>0</v>
      </c>
      <c r="D12" s="69"/>
      <c r="E12" s="43" t="str">
        <f t="shared" si="2"/>
        <v>0</v>
      </c>
      <c r="F12" s="43" t="str">
        <f t="shared" si="3"/>
        <v>0</v>
      </c>
      <c r="G12" s="69"/>
      <c r="H12" s="3" t="str">
        <f t="shared" si="4"/>
        <v>0</v>
      </c>
      <c r="I12" s="3" t="str">
        <f t="shared" si="5"/>
        <v>0</v>
      </c>
      <c r="J12" s="69"/>
      <c r="K12" s="3" t="str">
        <f t="shared" si="6"/>
        <v>0</v>
      </c>
      <c r="L12" s="3" t="str">
        <f t="shared" si="7"/>
        <v>0</v>
      </c>
      <c r="M12" s="58"/>
      <c r="N12" s="43" t="str">
        <f t="shared" si="13"/>
        <v/>
      </c>
      <c r="O12" s="43" t="str">
        <f t="shared" si="14"/>
        <v/>
      </c>
      <c r="P12" s="43" t="str">
        <f t="shared" si="15"/>
        <v/>
      </c>
      <c r="Q12" s="70" t="str">
        <f t="shared" si="16"/>
        <v/>
      </c>
      <c r="R12" s="43" t="str">
        <f t="shared" si="8"/>
        <v>0</v>
      </c>
      <c r="S12" s="43" t="str">
        <f t="shared" si="9"/>
        <v>0</v>
      </c>
      <c r="T12" s="69"/>
      <c r="U12" s="45" t="str">
        <f t="shared" si="17"/>
        <v/>
      </c>
      <c r="V12" s="43" t="str">
        <f t="shared" si="17"/>
        <v/>
      </c>
      <c r="W12" s="43" t="str">
        <f t="shared" si="18"/>
        <v/>
      </c>
      <c r="X12" s="43" t="str">
        <f t="shared" si="19"/>
        <v/>
      </c>
      <c r="Y12" s="46" t="e">
        <f t="shared" si="10"/>
        <v>#VALUE!</v>
      </c>
      <c r="Z12" s="46" t="e">
        <f t="shared" si="11"/>
        <v>#VALUE!</v>
      </c>
      <c r="AA12" s="59" t="str">
        <f t="shared" si="20"/>
        <v/>
      </c>
      <c r="AB12" s="43">
        <v>52800</v>
      </c>
      <c r="AC12" s="43"/>
      <c r="AD12" s="43"/>
      <c r="AE12" s="44">
        <v>0</v>
      </c>
      <c r="AF12" s="44">
        <v>0</v>
      </c>
      <c r="AG12" s="44">
        <v>0</v>
      </c>
      <c r="AH12" s="43" t="str">
        <f t="shared" si="21"/>
        <v/>
      </c>
      <c r="AI12" s="3" t="str">
        <f t="shared" si="22"/>
        <v/>
      </c>
      <c r="AJ12" s="3" t="str">
        <f t="shared" si="23"/>
        <v/>
      </c>
      <c r="AK12" s="3" t="str">
        <f t="shared" si="27"/>
        <v/>
      </c>
      <c r="AL12" s="30">
        <f t="shared" si="28"/>
        <v>0</v>
      </c>
      <c r="AM12" s="3" t="str">
        <f t="shared" si="24"/>
        <v/>
      </c>
      <c r="AN12" s="3" t="str">
        <f t="shared" si="25"/>
        <v/>
      </c>
      <c r="AO12" s="3" t="str">
        <f t="shared" si="12"/>
        <v/>
      </c>
      <c r="AP12" s="3" t="str">
        <f t="shared" si="26"/>
        <v/>
      </c>
    </row>
    <row r="13" spans="1:42" ht="33" customHeight="1">
      <c r="A13" s="107"/>
      <c r="B13" s="3" t="str">
        <f t="shared" si="0"/>
        <v>0</v>
      </c>
      <c r="C13" s="3" t="str">
        <f t="shared" si="1"/>
        <v>0</v>
      </c>
      <c r="D13" s="69"/>
      <c r="E13" s="43" t="str">
        <f t="shared" si="2"/>
        <v>0</v>
      </c>
      <c r="F13" s="43" t="str">
        <f t="shared" si="3"/>
        <v>0</v>
      </c>
      <c r="G13" s="69"/>
      <c r="H13" s="3" t="str">
        <f t="shared" si="4"/>
        <v>0</v>
      </c>
      <c r="I13" s="3" t="str">
        <f t="shared" si="5"/>
        <v>0</v>
      </c>
      <c r="J13" s="69"/>
      <c r="K13" s="3" t="str">
        <f t="shared" si="6"/>
        <v>0</v>
      </c>
      <c r="L13" s="3" t="str">
        <f t="shared" si="7"/>
        <v>0</v>
      </c>
      <c r="M13" s="58"/>
      <c r="N13" s="43" t="str">
        <f t="shared" si="13"/>
        <v/>
      </c>
      <c r="O13" s="43" t="str">
        <f t="shared" si="14"/>
        <v/>
      </c>
      <c r="P13" s="43" t="str">
        <f t="shared" si="15"/>
        <v/>
      </c>
      <c r="Q13" s="70" t="str">
        <f t="shared" si="16"/>
        <v/>
      </c>
      <c r="R13" s="43" t="str">
        <f t="shared" si="8"/>
        <v>0</v>
      </c>
      <c r="S13" s="43" t="str">
        <f t="shared" si="9"/>
        <v>0</v>
      </c>
      <c r="T13" s="69"/>
      <c r="U13" s="45" t="str">
        <f t="shared" si="17"/>
        <v/>
      </c>
      <c r="V13" s="43" t="str">
        <f t="shared" si="17"/>
        <v/>
      </c>
      <c r="W13" s="43" t="str">
        <f t="shared" si="18"/>
        <v/>
      </c>
      <c r="X13" s="43" t="str">
        <f t="shared" si="19"/>
        <v/>
      </c>
      <c r="Y13" s="46" t="e">
        <f t="shared" si="10"/>
        <v>#VALUE!</v>
      </c>
      <c r="Z13" s="46" t="e">
        <f t="shared" si="11"/>
        <v>#VALUE!</v>
      </c>
      <c r="AA13" s="59" t="str">
        <f t="shared" si="20"/>
        <v/>
      </c>
      <c r="AB13" s="43">
        <v>52800</v>
      </c>
      <c r="AC13" s="43"/>
      <c r="AD13" s="43"/>
      <c r="AE13" s="44">
        <v>0</v>
      </c>
      <c r="AF13" s="44">
        <v>0</v>
      </c>
      <c r="AG13" s="44">
        <v>0</v>
      </c>
      <c r="AH13" s="43" t="str">
        <f t="shared" si="21"/>
        <v/>
      </c>
      <c r="AI13" s="3" t="str">
        <f t="shared" si="22"/>
        <v/>
      </c>
      <c r="AJ13" s="3" t="str">
        <f t="shared" si="23"/>
        <v/>
      </c>
      <c r="AK13" s="3" t="str">
        <f t="shared" si="27"/>
        <v/>
      </c>
      <c r="AL13" s="30">
        <f t="shared" si="28"/>
        <v>0</v>
      </c>
      <c r="AM13" s="3" t="str">
        <f t="shared" si="24"/>
        <v/>
      </c>
      <c r="AN13" s="3" t="str">
        <f t="shared" si="25"/>
        <v/>
      </c>
      <c r="AO13" s="3" t="str">
        <f t="shared" si="12"/>
        <v/>
      </c>
      <c r="AP13" s="3" t="str">
        <f t="shared" si="26"/>
        <v/>
      </c>
    </row>
    <row r="14" spans="1:42" ht="33" customHeight="1">
      <c r="A14" s="107"/>
      <c r="B14" s="3" t="str">
        <f t="shared" si="0"/>
        <v>0</v>
      </c>
      <c r="C14" s="3" t="str">
        <f t="shared" si="1"/>
        <v>0</v>
      </c>
      <c r="D14" s="69"/>
      <c r="E14" s="43" t="str">
        <f t="shared" si="2"/>
        <v>0</v>
      </c>
      <c r="F14" s="43" t="str">
        <f t="shared" si="3"/>
        <v>0</v>
      </c>
      <c r="G14" s="69"/>
      <c r="H14" s="3" t="str">
        <f t="shared" si="4"/>
        <v>0</v>
      </c>
      <c r="I14" s="3" t="str">
        <f t="shared" si="5"/>
        <v>0</v>
      </c>
      <c r="J14" s="69"/>
      <c r="K14" s="3" t="str">
        <f t="shared" si="6"/>
        <v>0</v>
      </c>
      <c r="L14" s="3" t="str">
        <f t="shared" si="7"/>
        <v>0</v>
      </c>
      <c r="M14" s="58"/>
      <c r="N14" s="43" t="str">
        <f t="shared" si="13"/>
        <v/>
      </c>
      <c r="O14" s="43" t="str">
        <f t="shared" si="14"/>
        <v/>
      </c>
      <c r="P14" s="43" t="str">
        <f t="shared" si="15"/>
        <v/>
      </c>
      <c r="Q14" s="70" t="str">
        <f t="shared" si="16"/>
        <v/>
      </c>
      <c r="R14" s="43" t="str">
        <f t="shared" si="8"/>
        <v>0</v>
      </c>
      <c r="S14" s="43" t="str">
        <f t="shared" si="9"/>
        <v>0</v>
      </c>
      <c r="T14" s="69"/>
      <c r="U14" s="45" t="str">
        <f t="shared" si="17"/>
        <v/>
      </c>
      <c r="V14" s="43" t="str">
        <f t="shared" si="17"/>
        <v/>
      </c>
      <c r="W14" s="43" t="str">
        <f t="shared" si="18"/>
        <v/>
      </c>
      <c r="X14" s="43" t="str">
        <f t="shared" si="19"/>
        <v/>
      </c>
      <c r="Y14" s="46" t="e">
        <f t="shared" si="10"/>
        <v>#VALUE!</v>
      </c>
      <c r="Z14" s="46" t="e">
        <f t="shared" si="11"/>
        <v>#VALUE!</v>
      </c>
      <c r="AA14" s="59" t="str">
        <f t="shared" si="20"/>
        <v/>
      </c>
      <c r="AB14" s="43">
        <v>52800</v>
      </c>
      <c r="AC14" s="43"/>
      <c r="AD14" s="43"/>
      <c r="AE14" s="44">
        <v>0</v>
      </c>
      <c r="AF14" s="44">
        <v>0</v>
      </c>
      <c r="AG14" s="44">
        <v>0</v>
      </c>
      <c r="AH14" s="43" t="str">
        <f t="shared" si="21"/>
        <v/>
      </c>
      <c r="AI14" s="3" t="str">
        <f t="shared" si="22"/>
        <v/>
      </c>
      <c r="AJ14" s="3" t="str">
        <f t="shared" si="23"/>
        <v/>
      </c>
      <c r="AK14" s="3" t="str">
        <f t="shared" si="27"/>
        <v/>
      </c>
      <c r="AL14" s="30">
        <f t="shared" si="28"/>
        <v>0</v>
      </c>
      <c r="AM14" s="3" t="str">
        <f t="shared" si="24"/>
        <v/>
      </c>
      <c r="AN14" s="3" t="str">
        <f t="shared" si="25"/>
        <v/>
      </c>
      <c r="AO14" s="3" t="str">
        <f t="shared" si="12"/>
        <v/>
      </c>
      <c r="AP14" s="3" t="str">
        <f t="shared" si="26"/>
        <v/>
      </c>
    </row>
    <row r="15" spans="1:42" ht="33" customHeight="1">
      <c r="A15" s="107"/>
      <c r="B15" s="3" t="str">
        <f t="shared" si="0"/>
        <v>0</v>
      </c>
      <c r="C15" s="3" t="str">
        <f t="shared" si="1"/>
        <v>0</v>
      </c>
      <c r="D15" s="69"/>
      <c r="E15" s="43" t="str">
        <f t="shared" si="2"/>
        <v>0</v>
      </c>
      <c r="F15" s="43" t="str">
        <f t="shared" si="3"/>
        <v>0</v>
      </c>
      <c r="G15" s="69"/>
      <c r="H15" s="3" t="str">
        <f t="shared" si="4"/>
        <v>0</v>
      </c>
      <c r="I15" s="3" t="str">
        <f t="shared" si="5"/>
        <v>0</v>
      </c>
      <c r="J15" s="69"/>
      <c r="K15" s="3" t="str">
        <f t="shared" si="6"/>
        <v>0</v>
      </c>
      <c r="L15" s="3" t="str">
        <f t="shared" si="7"/>
        <v>0</v>
      </c>
      <c r="M15" s="58"/>
      <c r="N15" s="43" t="str">
        <f t="shared" si="13"/>
        <v/>
      </c>
      <c r="O15" s="43" t="str">
        <f t="shared" si="14"/>
        <v/>
      </c>
      <c r="P15" s="43" t="str">
        <f t="shared" si="15"/>
        <v/>
      </c>
      <c r="Q15" s="70" t="str">
        <f t="shared" si="16"/>
        <v/>
      </c>
      <c r="R15" s="43" t="str">
        <f t="shared" si="8"/>
        <v>0</v>
      </c>
      <c r="S15" s="43" t="str">
        <f t="shared" si="9"/>
        <v>0</v>
      </c>
      <c r="T15" s="69"/>
      <c r="U15" s="45" t="str">
        <f t="shared" si="17"/>
        <v/>
      </c>
      <c r="V15" s="43" t="str">
        <f t="shared" si="17"/>
        <v/>
      </c>
      <c r="W15" s="43" t="str">
        <f t="shared" si="18"/>
        <v/>
      </c>
      <c r="X15" s="43" t="str">
        <f t="shared" si="19"/>
        <v/>
      </c>
      <c r="Y15" s="46" t="e">
        <f t="shared" si="10"/>
        <v>#VALUE!</v>
      </c>
      <c r="Z15" s="46" t="e">
        <f t="shared" si="11"/>
        <v>#VALUE!</v>
      </c>
      <c r="AA15" s="59" t="str">
        <f t="shared" si="20"/>
        <v/>
      </c>
      <c r="AB15" s="43">
        <v>52800</v>
      </c>
      <c r="AC15" s="43"/>
      <c r="AD15" s="43"/>
      <c r="AE15" s="44">
        <v>0</v>
      </c>
      <c r="AF15" s="44">
        <v>0</v>
      </c>
      <c r="AG15" s="44">
        <v>0</v>
      </c>
      <c r="AH15" s="43" t="str">
        <f t="shared" si="21"/>
        <v/>
      </c>
      <c r="AI15" s="3" t="str">
        <f t="shared" si="22"/>
        <v/>
      </c>
      <c r="AJ15" s="3" t="str">
        <f t="shared" si="23"/>
        <v/>
      </c>
      <c r="AK15" s="3" t="str">
        <f t="shared" si="27"/>
        <v/>
      </c>
      <c r="AL15" s="30">
        <f t="shared" si="28"/>
        <v>0</v>
      </c>
      <c r="AM15" s="3" t="str">
        <f t="shared" si="24"/>
        <v/>
      </c>
      <c r="AN15" s="3" t="str">
        <f t="shared" si="25"/>
        <v/>
      </c>
      <c r="AO15" s="3" t="str">
        <f t="shared" si="12"/>
        <v/>
      </c>
      <c r="AP15" s="3" t="str">
        <f t="shared" si="26"/>
        <v/>
      </c>
    </row>
    <row r="16" spans="1:42" ht="33" customHeight="1">
      <c r="A16" s="107"/>
      <c r="B16" s="3" t="str">
        <f t="shared" si="0"/>
        <v>0</v>
      </c>
      <c r="C16" s="3" t="str">
        <f t="shared" si="1"/>
        <v>0</v>
      </c>
      <c r="D16" s="69"/>
      <c r="E16" s="43" t="str">
        <f t="shared" si="2"/>
        <v>0</v>
      </c>
      <c r="F16" s="43" t="str">
        <f t="shared" si="3"/>
        <v>0</v>
      </c>
      <c r="G16" s="69"/>
      <c r="H16" s="3" t="str">
        <f t="shared" si="4"/>
        <v>0</v>
      </c>
      <c r="I16" s="3" t="str">
        <f t="shared" si="5"/>
        <v>0</v>
      </c>
      <c r="J16" s="69"/>
      <c r="K16" s="3" t="str">
        <f t="shared" si="6"/>
        <v>0</v>
      </c>
      <c r="L16" s="3" t="str">
        <f t="shared" si="7"/>
        <v>0</v>
      </c>
      <c r="M16" s="58"/>
      <c r="N16" s="43" t="str">
        <f t="shared" si="13"/>
        <v/>
      </c>
      <c r="O16" s="43" t="str">
        <f t="shared" si="14"/>
        <v/>
      </c>
      <c r="P16" s="43" t="str">
        <f t="shared" si="15"/>
        <v/>
      </c>
      <c r="Q16" s="70" t="str">
        <f t="shared" si="16"/>
        <v/>
      </c>
      <c r="R16" s="43" t="str">
        <f t="shared" si="8"/>
        <v>0</v>
      </c>
      <c r="S16" s="43" t="str">
        <f t="shared" si="9"/>
        <v>0</v>
      </c>
      <c r="T16" s="69"/>
      <c r="U16" s="45" t="str">
        <f t="shared" si="17"/>
        <v/>
      </c>
      <c r="V16" s="43" t="str">
        <f t="shared" si="17"/>
        <v/>
      </c>
      <c r="W16" s="43" t="str">
        <f t="shared" si="18"/>
        <v/>
      </c>
      <c r="X16" s="43" t="str">
        <f t="shared" si="19"/>
        <v/>
      </c>
      <c r="Y16" s="46" t="e">
        <f t="shared" si="10"/>
        <v>#VALUE!</v>
      </c>
      <c r="Z16" s="46" t="e">
        <f t="shared" si="11"/>
        <v>#VALUE!</v>
      </c>
      <c r="AA16" s="59" t="str">
        <f t="shared" si="20"/>
        <v/>
      </c>
      <c r="AB16" s="43">
        <v>52800</v>
      </c>
      <c r="AC16" s="43"/>
      <c r="AD16" s="43"/>
      <c r="AE16" s="44">
        <v>0</v>
      </c>
      <c r="AF16" s="44">
        <v>0</v>
      </c>
      <c r="AG16" s="44">
        <v>0</v>
      </c>
      <c r="AH16" s="43" t="str">
        <f t="shared" si="21"/>
        <v/>
      </c>
      <c r="AI16" s="3" t="str">
        <f t="shared" si="22"/>
        <v/>
      </c>
      <c r="AJ16" s="3" t="str">
        <f t="shared" si="23"/>
        <v/>
      </c>
      <c r="AK16" s="3" t="str">
        <f t="shared" si="27"/>
        <v/>
      </c>
      <c r="AL16" s="30">
        <f t="shared" si="28"/>
        <v>0</v>
      </c>
      <c r="AM16" s="3" t="str">
        <f t="shared" si="24"/>
        <v/>
      </c>
      <c r="AN16" s="3" t="str">
        <f t="shared" si="25"/>
        <v/>
      </c>
      <c r="AO16" s="3" t="str">
        <f t="shared" si="12"/>
        <v/>
      </c>
      <c r="AP16" s="3" t="str">
        <f t="shared" si="26"/>
        <v/>
      </c>
    </row>
    <row r="17" spans="1:42" ht="33" customHeight="1">
      <c r="A17" s="107"/>
      <c r="B17" s="3" t="str">
        <f t="shared" si="0"/>
        <v>0</v>
      </c>
      <c r="C17" s="3" t="str">
        <f t="shared" si="1"/>
        <v>0</v>
      </c>
      <c r="D17" s="69"/>
      <c r="E17" s="43" t="str">
        <f t="shared" si="2"/>
        <v>0</v>
      </c>
      <c r="F17" s="43" t="str">
        <f t="shared" si="3"/>
        <v>0</v>
      </c>
      <c r="G17" s="69"/>
      <c r="H17" s="3" t="str">
        <f t="shared" si="4"/>
        <v>0</v>
      </c>
      <c r="I17" s="3" t="str">
        <f t="shared" si="5"/>
        <v>0</v>
      </c>
      <c r="J17" s="69"/>
      <c r="K17" s="3" t="str">
        <f t="shared" si="6"/>
        <v>0</v>
      </c>
      <c r="L17" s="3" t="str">
        <f t="shared" si="7"/>
        <v>0</v>
      </c>
      <c r="M17" s="58"/>
      <c r="N17" s="43" t="str">
        <f t="shared" si="13"/>
        <v/>
      </c>
      <c r="O17" s="43" t="str">
        <f t="shared" si="14"/>
        <v/>
      </c>
      <c r="P17" s="43" t="str">
        <f t="shared" si="15"/>
        <v/>
      </c>
      <c r="Q17" s="70" t="str">
        <f t="shared" si="16"/>
        <v/>
      </c>
      <c r="R17" s="43" t="str">
        <f t="shared" si="8"/>
        <v>0</v>
      </c>
      <c r="S17" s="43" t="str">
        <f t="shared" si="9"/>
        <v>0</v>
      </c>
      <c r="T17" s="69"/>
      <c r="U17" s="45" t="str">
        <f t="shared" si="17"/>
        <v/>
      </c>
      <c r="V17" s="43" t="str">
        <f t="shared" si="17"/>
        <v/>
      </c>
      <c r="W17" s="43" t="str">
        <f t="shared" si="18"/>
        <v/>
      </c>
      <c r="X17" s="43" t="str">
        <f t="shared" si="19"/>
        <v/>
      </c>
      <c r="Y17" s="46" t="e">
        <f t="shared" si="10"/>
        <v>#VALUE!</v>
      </c>
      <c r="Z17" s="46" t="e">
        <f t="shared" si="11"/>
        <v>#VALUE!</v>
      </c>
      <c r="AA17" s="59" t="str">
        <f t="shared" si="20"/>
        <v/>
      </c>
      <c r="AB17" s="43">
        <v>52800</v>
      </c>
      <c r="AC17" s="43"/>
      <c r="AD17" s="43"/>
      <c r="AE17" s="44">
        <v>0</v>
      </c>
      <c r="AF17" s="44">
        <v>0</v>
      </c>
      <c r="AG17" s="44">
        <v>0</v>
      </c>
      <c r="AH17" s="43" t="str">
        <f t="shared" si="21"/>
        <v/>
      </c>
      <c r="AI17" s="3" t="str">
        <f t="shared" si="22"/>
        <v/>
      </c>
      <c r="AJ17" s="3" t="str">
        <f t="shared" si="23"/>
        <v/>
      </c>
      <c r="AK17" s="3" t="str">
        <f t="shared" si="27"/>
        <v/>
      </c>
      <c r="AL17" s="30">
        <f t="shared" si="28"/>
        <v>0</v>
      </c>
      <c r="AM17" s="3" t="str">
        <f t="shared" si="24"/>
        <v/>
      </c>
      <c r="AN17" s="3" t="str">
        <f t="shared" si="25"/>
        <v/>
      </c>
      <c r="AO17" s="3" t="str">
        <f t="shared" si="12"/>
        <v/>
      </c>
      <c r="AP17" s="3" t="str">
        <f t="shared" si="26"/>
        <v/>
      </c>
    </row>
    <row r="18" spans="1:42" ht="33" customHeight="1">
      <c r="A18" s="107"/>
      <c r="B18" s="3" t="str">
        <f t="shared" si="0"/>
        <v>0</v>
      </c>
      <c r="C18" s="3" t="str">
        <f t="shared" si="1"/>
        <v>0</v>
      </c>
      <c r="D18" s="69"/>
      <c r="E18" s="43" t="str">
        <f t="shared" si="2"/>
        <v>0</v>
      </c>
      <c r="F18" s="43" t="str">
        <f t="shared" si="3"/>
        <v>0</v>
      </c>
      <c r="G18" s="69"/>
      <c r="H18" s="3" t="str">
        <f t="shared" si="4"/>
        <v>0</v>
      </c>
      <c r="I18" s="3" t="str">
        <f t="shared" si="5"/>
        <v>0</v>
      </c>
      <c r="J18" s="69"/>
      <c r="K18" s="3" t="str">
        <f t="shared" si="6"/>
        <v>0</v>
      </c>
      <c r="L18" s="3" t="str">
        <f t="shared" si="7"/>
        <v>0</v>
      </c>
      <c r="M18" s="58"/>
      <c r="N18" s="43" t="str">
        <f t="shared" si="13"/>
        <v/>
      </c>
      <c r="O18" s="43" t="str">
        <f t="shared" si="14"/>
        <v/>
      </c>
      <c r="P18" s="43" t="str">
        <f t="shared" si="15"/>
        <v/>
      </c>
      <c r="Q18" s="70" t="str">
        <f t="shared" si="16"/>
        <v/>
      </c>
      <c r="R18" s="43" t="str">
        <f t="shared" si="8"/>
        <v>0</v>
      </c>
      <c r="S18" s="43" t="str">
        <f t="shared" si="9"/>
        <v>0</v>
      </c>
      <c r="T18" s="69"/>
      <c r="U18" s="45" t="str">
        <f t="shared" si="17"/>
        <v/>
      </c>
      <c r="V18" s="43" t="str">
        <f t="shared" si="17"/>
        <v/>
      </c>
      <c r="W18" s="43" t="str">
        <f t="shared" si="18"/>
        <v/>
      </c>
      <c r="X18" s="43" t="str">
        <f t="shared" si="19"/>
        <v/>
      </c>
      <c r="Y18" s="46" t="e">
        <f t="shared" si="10"/>
        <v>#VALUE!</v>
      </c>
      <c r="Z18" s="46" t="e">
        <f t="shared" si="11"/>
        <v>#VALUE!</v>
      </c>
      <c r="AA18" s="59" t="str">
        <f t="shared" si="20"/>
        <v/>
      </c>
      <c r="AB18" s="43">
        <v>52800</v>
      </c>
      <c r="AC18" s="43"/>
      <c r="AD18" s="43"/>
      <c r="AE18" s="44">
        <v>0</v>
      </c>
      <c r="AF18" s="44">
        <v>0</v>
      </c>
      <c r="AG18" s="44">
        <v>0</v>
      </c>
      <c r="AH18" s="43" t="str">
        <f t="shared" si="21"/>
        <v/>
      </c>
      <c r="AI18" s="3" t="str">
        <f t="shared" si="22"/>
        <v/>
      </c>
      <c r="AJ18" s="3" t="str">
        <f t="shared" si="23"/>
        <v/>
      </c>
      <c r="AK18" s="3" t="str">
        <f t="shared" si="27"/>
        <v/>
      </c>
      <c r="AL18" s="30">
        <f t="shared" si="28"/>
        <v>0</v>
      </c>
      <c r="AM18" s="3" t="str">
        <f t="shared" si="24"/>
        <v/>
      </c>
      <c r="AN18" s="3" t="str">
        <f t="shared" si="25"/>
        <v/>
      </c>
      <c r="AO18" s="3" t="str">
        <f t="shared" si="12"/>
        <v/>
      </c>
      <c r="AP18" s="3" t="str">
        <f t="shared" si="26"/>
        <v/>
      </c>
    </row>
    <row r="19" spans="1:42" s="48" customFormat="1" ht="33" customHeight="1">
      <c r="A19" s="107"/>
      <c r="B19" s="3" t="str">
        <f t="shared" si="0"/>
        <v>0</v>
      </c>
      <c r="C19" s="3" t="str">
        <f t="shared" si="1"/>
        <v>0</v>
      </c>
      <c r="D19" s="69"/>
      <c r="E19" s="43" t="str">
        <f t="shared" si="2"/>
        <v>0</v>
      </c>
      <c r="F19" s="43" t="str">
        <f t="shared" si="3"/>
        <v>0</v>
      </c>
      <c r="G19" s="69"/>
      <c r="H19" s="3" t="str">
        <f t="shared" si="4"/>
        <v>0</v>
      </c>
      <c r="I19" s="3" t="str">
        <f t="shared" si="5"/>
        <v>0</v>
      </c>
      <c r="J19" s="69"/>
      <c r="K19" s="3" t="str">
        <f t="shared" si="6"/>
        <v>0</v>
      </c>
      <c r="L19" s="3" t="str">
        <f t="shared" si="7"/>
        <v>0</v>
      </c>
      <c r="M19" s="58"/>
      <c r="N19" s="43" t="str">
        <f t="shared" si="13"/>
        <v/>
      </c>
      <c r="O19" s="43" t="str">
        <f t="shared" si="14"/>
        <v/>
      </c>
      <c r="P19" s="43" t="str">
        <f t="shared" si="15"/>
        <v/>
      </c>
      <c r="Q19" s="70" t="str">
        <f t="shared" si="16"/>
        <v/>
      </c>
      <c r="R19" s="43" t="str">
        <f t="shared" si="8"/>
        <v>0</v>
      </c>
      <c r="S19" s="43" t="str">
        <f t="shared" si="9"/>
        <v>0</v>
      </c>
      <c r="T19" s="69"/>
      <c r="U19" s="45" t="str">
        <f t="shared" si="17"/>
        <v/>
      </c>
      <c r="V19" s="43" t="str">
        <f t="shared" si="17"/>
        <v/>
      </c>
      <c r="W19" s="43" t="str">
        <f t="shared" si="18"/>
        <v/>
      </c>
      <c r="X19" s="43" t="str">
        <f t="shared" si="19"/>
        <v/>
      </c>
      <c r="Y19" s="46" t="e">
        <f t="shared" si="10"/>
        <v>#VALUE!</v>
      </c>
      <c r="Z19" s="46" t="e">
        <f t="shared" si="11"/>
        <v>#VALUE!</v>
      </c>
      <c r="AA19" s="59" t="str">
        <f t="shared" si="20"/>
        <v/>
      </c>
      <c r="AB19" s="43">
        <v>52800</v>
      </c>
      <c r="AC19" s="43"/>
      <c r="AD19" s="43"/>
      <c r="AE19" s="44">
        <v>0</v>
      </c>
      <c r="AF19" s="44">
        <v>0</v>
      </c>
      <c r="AG19" s="44">
        <v>0</v>
      </c>
      <c r="AH19" s="43" t="str">
        <f t="shared" si="21"/>
        <v/>
      </c>
      <c r="AI19" s="3" t="str">
        <f t="shared" si="22"/>
        <v/>
      </c>
      <c r="AJ19" s="3" t="str">
        <f t="shared" si="23"/>
        <v/>
      </c>
      <c r="AK19" s="3" t="str">
        <f t="shared" si="27"/>
        <v/>
      </c>
      <c r="AL19" s="30">
        <f t="shared" si="28"/>
        <v>0</v>
      </c>
      <c r="AM19" s="3" t="str">
        <f t="shared" si="24"/>
        <v/>
      </c>
      <c r="AN19" s="3" t="str">
        <f t="shared" si="25"/>
        <v/>
      </c>
      <c r="AO19" s="3" t="str">
        <f t="shared" si="12"/>
        <v/>
      </c>
      <c r="AP19" s="3" t="str">
        <f t="shared" si="26"/>
        <v/>
      </c>
    </row>
    <row r="20" spans="1:42" ht="33" customHeight="1">
      <c r="A20" s="107"/>
      <c r="B20" s="3" t="str">
        <f t="shared" si="0"/>
        <v>0</v>
      </c>
      <c r="C20" s="3" t="str">
        <f t="shared" si="1"/>
        <v>0</v>
      </c>
      <c r="D20" s="69"/>
      <c r="E20" s="43" t="str">
        <f t="shared" si="2"/>
        <v>0</v>
      </c>
      <c r="F20" s="43" t="str">
        <f t="shared" si="3"/>
        <v>0</v>
      </c>
      <c r="G20" s="69"/>
      <c r="H20" s="3" t="str">
        <f t="shared" si="4"/>
        <v>0</v>
      </c>
      <c r="I20" s="3" t="str">
        <f t="shared" si="5"/>
        <v>0</v>
      </c>
      <c r="J20" s="69"/>
      <c r="K20" s="3" t="str">
        <f t="shared" si="6"/>
        <v>0</v>
      </c>
      <c r="L20" s="3" t="str">
        <f t="shared" si="7"/>
        <v>0</v>
      </c>
      <c r="M20" s="58"/>
      <c r="N20" s="43" t="str">
        <f t="shared" si="13"/>
        <v/>
      </c>
      <c r="O20" s="43" t="str">
        <f t="shared" si="14"/>
        <v/>
      </c>
      <c r="P20" s="43" t="str">
        <f t="shared" si="15"/>
        <v/>
      </c>
      <c r="Q20" s="70" t="str">
        <f t="shared" si="16"/>
        <v/>
      </c>
      <c r="R20" s="43" t="str">
        <f t="shared" si="8"/>
        <v>0</v>
      </c>
      <c r="S20" s="43" t="str">
        <f t="shared" si="9"/>
        <v>0</v>
      </c>
      <c r="T20" s="69"/>
      <c r="U20" s="45" t="str">
        <f t="shared" si="17"/>
        <v/>
      </c>
      <c r="V20" s="43" t="str">
        <f t="shared" si="17"/>
        <v/>
      </c>
      <c r="W20" s="43" t="str">
        <f t="shared" si="18"/>
        <v/>
      </c>
      <c r="X20" s="43" t="str">
        <f t="shared" si="19"/>
        <v/>
      </c>
      <c r="Y20" s="46" t="e">
        <f t="shared" si="10"/>
        <v>#VALUE!</v>
      </c>
      <c r="Z20" s="46" t="e">
        <f t="shared" si="11"/>
        <v>#VALUE!</v>
      </c>
      <c r="AA20" s="59" t="str">
        <f t="shared" si="20"/>
        <v/>
      </c>
      <c r="AB20" s="43">
        <v>52800</v>
      </c>
      <c r="AC20" s="43"/>
      <c r="AD20" s="43"/>
      <c r="AE20" s="44">
        <v>0</v>
      </c>
      <c r="AF20" s="44">
        <v>0</v>
      </c>
      <c r="AG20" s="44">
        <v>0</v>
      </c>
      <c r="AH20" s="43" t="str">
        <f t="shared" si="21"/>
        <v/>
      </c>
      <c r="AI20" s="3" t="str">
        <f t="shared" si="22"/>
        <v/>
      </c>
      <c r="AJ20" s="3" t="str">
        <f t="shared" si="23"/>
        <v/>
      </c>
      <c r="AK20" s="3" t="str">
        <f t="shared" si="27"/>
        <v/>
      </c>
      <c r="AL20" s="30">
        <f t="shared" si="28"/>
        <v>0</v>
      </c>
      <c r="AM20" s="3" t="str">
        <f t="shared" si="24"/>
        <v/>
      </c>
      <c r="AN20" s="3" t="str">
        <f t="shared" si="25"/>
        <v/>
      </c>
      <c r="AO20" s="3" t="str">
        <f t="shared" si="12"/>
        <v/>
      </c>
      <c r="AP20" s="3" t="str">
        <f t="shared" si="26"/>
        <v/>
      </c>
    </row>
    <row r="21" spans="1:42" ht="33" customHeight="1">
      <c r="A21" s="107"/>
      <c r="B21" s="3" t="str">
        <f t="shared" si="0"/>
        <v>0</v>
      </c>
      <c r="C21" s="3" t="str">
        <f t="shared" si="1"/>
        <v>0</v>
      </c>
      <c r="D21" s="69"/>
      <c r="E21" s="43" t="str">
        <f t="shared" si="2"/>
        <v>0</v>
      </c>
      <c r="F21" s="43" t="str">
        <f t="shared" si="3"/>
        <v>0</v>
      </c>
      <c r="G21" s="69"/>
      <c r="H21" s="3" t="str">
        <f t="shared" si="4"/>
        <v>0</v>
      </c>
      <c r="I21" s="3" t="str">
        <f t="shared" si="5"/>
        <v>0</v>
      </c>
      <c r="J21" s="69"/>
      <c r="K21" s="3" t="str">
        <f t="shared" si="6"/>
        <v>0</v>
      </c>
      <c r="L21" s="3" t="str">
        <f t="shared" si="7"/>
        <v>0</v>
      </c>
      <c r="M21" s="58"/>
      <c r="N21" s="43" t="str">
        <f t="shared" si="13"/>
        <v/>
      </c>
      <c r="O21" s="43" t="str">
        <f t="shared" si="14"/>
        <v/>
      </c>
      <c r="P21" s="43" t="str">
        <f t="shared" si="15"/>
        <v/>
      </c>
      <c r="Q21" s="70" t="str">
        <f t="shared" si="16"/>
        <v/>
      </c>
      <c r="R21" s="43" t="str">
        <f t="shared" si="8"/>
        <v>0</v>
      </c>
      <c r="S21" s="43" t="str">
        <f t="shared" si="9"/>
        <v>0</v>
      </c>
      <c r="T21" s="69"/>
      <c r="U21" s="45" t="str">
        <f t="shared" si="17"/>
        <v/>
      </c>
      <c r="V21" s="43" t="str">
        <f t="shared" si="17"/>
        <v/>
      </c>
      <c r="W21" s="43" t="str">
        <f t="shared" si="18"/>
        <v/>
      </c>
      <c r="X21" s="43" t="str">
        <f t="shared" si="19"/>
        <v/>
      </c>
      <c r="Y21" s="46" t="e">
        <f t="shared" si="10"/>
        <v>#VALUE!</v>
      </c>
      <c r="Z21" s="46" t="e">
        <f t="shared" si="11"/>
        <v>#VALUE!</v>
      </c>
      <c r="AA21" s="59" t="str">
        <f t="shared" si="20"/>
        <v/>
      </c>
      <c r="AB21" s="43">
        <v>52800</v>
      </c>
      <c r="AC21" s="43"/>
      <c r="AD21" s="43"/>
      <c r="AE21" s="44">
        <v>0</v>
      </c>
      <c r="AF21" s="44">
        <v>0</v>
      </c>
      <c r="AG21" s="44">
        <v>0</v>
      </c>
      <c r="AH21" s="43" t="str">
        <f t="shared" si="21"/>
        <v/>
      </c>
      <c r="AI21" s="3" t="str">
        <f t="shared" si="22"/>
        <v/>
      </c>
      <c r="AJ21" s="3" t="str">
        <f t="shared" si="23"/>
        <v/>
      </c>
      <c r="AK21" s="3" t="str">
        <f t="shared" si="27"/>
        <v/>
      </c>
      <c r="AL21" s="30">
        <f t="shared" si="28"/>
        <v>0</v>
      </c>
      <c r="AM21" s="3" t="str">
        <f t="shared" si="24"/>
        <v/>
      </c>
      <c r="AN21" s="3" t="str">
        <f t="shared" si="25"/>
        <v/>
      </c>
      <c r="AO21" s="3" t="str">
        <f t="shared" si="12"/>
        <v/>
      </c>
      <c r="AP21" s="3" t="str">
        <f t="shared" si="26"/>
        <v/>
      </c>
    </row>
    <row r="22" spans="1:42" ht="33" customHeight="1">
      <c r="A22" s="107"/>
      <c r="B22" s="3" t="str">
        <f t="shared" si="0"/>
        <v>0</v>
      </c>
      <c r="C22" s="3" t="str">
        <f t="shared" si="1"/>
        <v>0</v>
      </c>
      <c r="D22" s="69"/>
      <c r="E22" s="43" t="str">
        <f t="shared" si="2"/>
        <v>0</v>
      </c>
      <c r="F22" s="43" t="str">
        <f t="shared" si="3"/>
        <v>0</v>
      </c>
      <c r="G22" s="69"/>
      <c r="H22" s="3" t="str">
        <f t="shared" si="4"/>
        <v>0</v>
      </c>
      <c r="I22" s="3" t="str">
        <f t="shared" si="5"/>
        <v>0</v>
      </c>
      <c r="J22" s="69"/>
      <c r="K22" s="3" t="str">
        <f t="shared" si="6"/>
        <v>0</v>
      </c>
      <c r="L22" s="3" t="str">
        <f t="shared" si="7"/>
        <v>0</v>
      </c>
      <c r="M22" s="58"/>
      <c r="N22" s="43" t="str">
        <f t="shared" si="13"/>
        <v/>
      </c>
      <c r="O22" s="43" t="str">
        <f t="shared" si="14"/>
        <v/>
      </c>
      <c r="P22" s="43" t="str">
        <f t="shared" si="15"/>
        <v/>
      </c>
      <c r="Q22" s="70" t="str">
        <f t="shared" si="16"/>
        <v/>
      </c>
      <c r="R22" s="43" t="str">
        <f t="shared" si="8"/>
        <v>0</v>
      </c>
      <c r="S22" s="43" t="str">
        <f t="shared" si="9"/>
        <v>0</v>
      </c>
      <c r="T22" s="69"/>
      <c r="U22" s="45" t="str">
        <f t="shared" si="17"/>
        <v/>
      </c>
      <c r="V22" s="43" t="str">
        <f t="shared" si="17"/>
        <v/>
      </c>
      <c r="W22" s="43" t="str">
        <f t="shared" si="18"/>
        <v/>
      </c>
      <c r="X22" s="43" t="str">
        <f t="shared" si="19"/>
        <v/>
      </c>
      <c r="Y22" s="46" t="e">
        <f t="shared" si="10"/>
        <v>#VALUE!</v>
      </c>
      <c r="Z22" s="46" t="e">
        <f t="shared" si="11"/>
        <v>#VALUE!</v>
      </c>
      <c r="AA22" s="59" t="str">
        <f t="shared" si="20"/>
        <v/>
      </c>
      <c r="AB22" s="43">
        <v>52800</v>
      </c>
      <c r="AC22" s="43"/>
      <c r="AD22" s="43"/>
      <c r="AE22" s="44">
        <v>0</v>
      </c>
      <c r="AF22" s="44">
        <v>0</v>
      </c>
      <c r="AG22" s="44">
        <v>0</v>
      </c>
      <c r="AH22" s="43" t="str">
        <f t="shared" si="21"/>
        <v/>
      </c>
      <c r="AI22" s="3" t="str">
        <f t="shared" si="22"/>
        <v/>
      </c>
      <c r="AJ22" s="3" t="str">
        <f t="shared" si="23"/>
        <v/>
      </c>
      <c r="AK22" s="3" t="str">
        <f t="shared" si="27"/>
        <v/>
      </c>
      <c r="AL22" s="30">
        <f t="shared" si="28"/>
        <v>0</v>
      </c>
      <c r="AM22" s="3" t="str">
        <f t="shared" si="24"/>
        <v/>
      </c>
      <c r="AN22" s="3" t="str">
        <f t="shared" si="25"/>
        <v/>
      </c>
      <c r="AO22" s="3" t="str">
        <f t="shared" si="12"/>
        <v/>
      </c>
      <c r="AP22" s="3" t="str">
        <f t="shared" si="26"/>
        <v/>
      </c>
    </row>
    <row r="23" spans="1:42" ht="33" customHeight="1">
      <c r="A23" s="107"/>
      <c r="B23" s="3" t="str">
        <f t="shared" si="0"/>
        <v>0</v>
      </c>
      <c r="C23" s="3" t="str">
        <f t="shared" si="1"/>
        <v>0</v>
      </c>
      <c r="D23" s="69"/>
      <c r="E23" s="43" t="str">
        <f t="shared" si="2"/>
        <v>0</v>
      </c>
      <c r="F23" s="43" t="str">
        <f t="shared" si="3"/>
        <v>0</v>
      </c>
      <c r="G23" s="69"/>
      <c r="H23" s="3" t="str">
        <f t="shared" si="4"/>
        <v>0</v>
      </c>
      <c r="I23" s="3" t="str">
        <f t="shared" si="5"/>
        <v>0</v>
      </c>
      <c r="J23" s="69"/>
      <c r="K23" s="3" t="str">
        <f t="shared" si="6"/>
        <v>0</v>
      </c>
      <c r="L23" s="3" t="str">
        <f t="shared" si="7"/>
        <v>0</v>
      </c>
      <c r="M23" s="58"/>
      <c r="N23" s="43" t="str">
        <f t="shared" si="13"/>
        <v/>
      </c>
      <c r="O23" s="43" t="str">
        <f t="shared" si="14"/>
        <v/>
      </c>
      <c r="P23" s="43" t="str">
        <f t="shared" si="15"/>
        <v/>
      </c>
      <c r="Q23" s="70" t="str">
        <f t="shared" si="16"/>
        <v/>
      </c>
      <c r="R23" s="43" t="str">
        <f t="shared" si="8"/>
        <v>0</v>
      </c>
      <c r="S23" s="43" t="str">
        <f t="shared" si="9"/>
        <v>0</v>
      </c>
      <c r="T23" s="69"/>
      <c r="U23" s="45" t="str">
        <f t="shared" si="17"/>
        <v/>
      </c>
      <c r="V23" s="43" t="str">
        <f t="shared" si="17"/>
        <v/>
      </c>
      <c r="W23" s="43" t="str">
        <f t="shared" si="18"/>
        <v/>
      </c>
      <c r="X23" s="43" t="str">
        <f t="shared" si="19"/>
        <v/>
      </c>
      <c r="Y23" s="46" t="e">
        <f t="shared" si="10"/>
        <v>#VALUE!</v>
      </c>
      <c r="Z23" s="46" t="e">
        <f t="shared" si="11"/>
        <v>#VALUE!</v>
      </c>
      <c r="AA23" s="59" t="str">
        <f t="shared" si="20"/>
        <v/>
      </c>
      <c r="AB23" s="43">
        <v>52800</v>
      </c>
      <c r="AC23" s="43"/>
      <c r="AD23" s="43"/>
      <c r="AE23" s="44">
        <v>0</v>
      </c>
      <c r="AF23" s="44">
        <v>0</v>
      </c>
      <c r="AG23" s="44">
        <v>0</v>
      </c>
      <c r="AH23" s="43" t="str">
        <f t="shared" si="21"/>
        <v/>
      </c>
      <c r="AI23" s="3" t="str">
        <f t="shared" si="22"/>
        <v/>
      </c>
      <c r="AJ23" s="3" t="str">
        <f t="shared" si="23"/>
        <v/>
      </c>
      <c r="AK23" s="3" t="str">
        <f t="shared" si="27"/>
        <v/>
      </c>
      <c r="AL23" s="30">
        <f t="shared" si="28"/>
        <v>0</v>
      </c>
      <c r="AM23" s="3" t="str">
        <f t="shared" si="24"/>
        <v/>
      </c>
      <c r="AN23" s="3" t="str">
        <f t="shared" si="25"/>
        <v/>
      </c>
      <c r="AO23" s="3" t="str">
        <f t="shared" si="12"/>
        <v/>
      </c>
      <c r="AP23" s="3" t="str">
        <f t="shared" si="26"/>
        <v/>
      </c>
    </row>
    <row r="24" spans="1:42" ht="33" customHeight="1">
      <c r="A24" s="107"/>
      <c r="B24" s="3" t="str">
        <f t="shared" si="0"/>
        <v>0</v>
      </c>
      <c r="C24" s="3" t="str">
        <f t="shared" si="1"/>
        <v>0</v>
      </c>
      <c r="D24" s="69"/>
      <c r="E24" s="43" t="str">
        <f t="shared" si="2"/>
        <v>0</v>
      </c>
      <c r="F24" s="43" t="str">
        <f t="shared" si="3"/>
        <v>0</v>
      </c>
      <c r="G24" s="69"/>
      <c r="H24" s="3" t="str">
        <f t="shared" si="4"/>
        <v>0</v>
      </c>
      <c r="I24" s="3" t="str">
        <f t="shared" si="5"/>
        <v>0</v>
      </c>
      <c r="J24" s="69"/>
      <c r="K24" s="3" t="str">
        <f t="shared" si="6"/>
        <v>0</v>
      </c>
      <c r="L24" s="3" t="str">
        <f t="shared" si="7"/>
        <v>0</v>
      </c>
      <c r="M24" s="58"/>
      <c r="N24" s="43" t="str">
        <f t="shared" si="13"/>
        <v/>
      </c>
      <c r="O24" s="43" t="str">
        <f t="shared" si="14"/>
        <v/>
      </c>
      <c r="P24" s="43" t="str">
        <f t="shared" si="15"/>
        <v/>
      </c>
      <c r="Q24" s="70" t="str">
        <f t="shared" si="16"/>
        <v/>
      </c>
      <c r="R24" s="43" t="str">
        <f t="shared" si="8"/>
        <v>0</v>
      </c>
      <c r="S24" s="43" t="str">
        <f t="shared" si="9"/>
        <v>0</v>
      </c>
      <c r="T24" s="69"/>
      <c r="U24" s="45" t="str">
        <f t="shared" si="17"/>
        <v/>
      </c>
      <c r="V24" s="43" t="str">
        <f t="shared" si="17"/>
        <v/>
      </c>
      <c r="W24" s="43" t="str">
        <f t="shared" si="18"/>
        <v/>
      </c>
      <c r="X24" s="43" t="str">
        <f t="shared" si="19"/>
        <v/>
      </c>
      <c r="Y24" s="46" t="e">
        <f t="shared" si="10"/>
        <v>#VALUE!</v>
      </c>
      <c r="Z24" s="46" t="e">
        <f t="shared" si="11"/>
        <v>#VALUE!</v>
      </c>
      <c r="AA24" s="59" t="str">
        <f t="shared" si="20"/>
        <v/>
      </c>
      <c r="AB24" s="43">
        <v>52800</v>
      </c>
      <c r="AC24" s="43"/>
      <c r="AD24" s="43"/>
      <c r="AE24" s="44">
        <v>0</v>
      </c>
      <c r="AF24" s="44">
        <v>0</v>
      </c>
      <c r="AG24" s="44">
        <v>0</v>
      </c>
      <c r="AH24" s="43" t="str">
        <f t="shared" si="21"/>
        <v/>
      </c>
      <c r="AI24" s="3" t="str">
        <f t="shared" si="22"/>
        <v/>
      </c>
      <c r="AJ24" s="3" t="str">
        <f t="shared" si="23"/>
        <v/>
      </c>
      <c r="AK24" s="3" t="str">
        <f t="shared" si="27"/>
        <v/>
      </c>
      <c r="AL24" s="30">
        <f t="shared" si="28"/>
        <v>0</v>
      </c>
      <c r="AM24" s="3" t="str">
        <f t="shared" si="24"/>
        <v/>
      </c>
      <c r="AN24" s="3" t="str">
        <f t="shared" si="25"/>
        <v/>
      </c>
      <c r="AO24" s="3" t="str">
        <f t="shared" si="12"/>
        <v/>
      </c>
      <c r="AP24" s="3" t="str">
        <f t="shared" si="26"/>
        <v/>
      </c>
    </row>
    <row r="25" spans="1:42" ht="33" customHeight="1">
      <c r="A25" s="107"/>
      <c r="B25" s="3" t="str">
        <f t="shared" si="0"/>
        <v>0</v>
      </c>
      <c r="C25" s="3" t="str">
        <f t="shared" si="1"/>
        <v>0</v>
      </c>
      <c r="D25" s="69"/>
      <c r="E25" s="43" t="str">
        <f t="shared" si="2"/>
        <v>0</v>
      </c>
      <c r="F25" s="43" t="str">
        <f t="shared" si="3"/>
        <v>0</v>
      </c>
      <c r="G25" s="69"/>
      <c r="H25" s="3" t="str">
        <f t="shared" si="4"/>
        <v>0</v>
      </c>
      <c r="I25" s="3" t="str">
        <f t="shared" si="5"/>
        <v>0</v>
      </c>
      <c r="J25" s="69"/>
      <c r="K25" s="3" t="str">
        <f t="shared" si="6"/>
        <v>0</v>
      </c>
      <c r="L25" s="3" t="str">
        <f t="shared" si="7"/>
        <v>0</v>
      </c>
      <c r="M25" s="58"/>
      <c r="N25" s="43" t="str">
        <f t="shared" si="13"/>
        <v/>
      </c>
      <c r="O25" s="43" t="str">
        <f t="shared" si="14"/>
        <v/>
      </c>
      <c r="P25" s="43" t="str">
        <f t="shared" si="15"/>
        <v/>
      </c>
      <c r="Q25" s="70" t="str">
        <f t="shared" si="16"/>
        <v/>
      </c>
      <c r="R25" s="43" t="str">
        <f t="shared" si="8"/>
        <v>0</v>
      </c>
      <c r="S25" s="43" t="str">
        <f t="shared" si="9"/>
        <v>0</v>
      </c>
      <c r="T25" s="69"/>
      <c r="U25" s="45" t="str">
        <f t="shared" si="17"/>
        <v/>
      </c>
      <c r="V25" s="43" t="str">
        <f t="shared" si="17"/>
        <v/>
      </c>
      <c r="W25" s="43" t="str">
        <f t="shared" si="18"/>
        <v/>
      </c>
      <c r="X25" s="43" t="str">
        <f t="shared" si="19"/>
        <v/>
      </c>
      <c r="Y25" s="46" t="e">
        <f t="shared" si="10"/>
        <v>#VALUE!</v>
      </c>
      <c r="Z25" s="46" t="e">
        <f t="shared" si="11"/>
        <v>#VALUE!</v>
      </c>
      <c r="AA25" s="59" t="str">
        <f t="shared" si="20"/>
        <v/>
      </c>
      <c r="AB25" s="43">
        <v>52800</v>
      </c>
      <c r="AC25" s="43"/>
      <c r="AD25" s="43"/>
      <c r="AE25" s="44">
        <v>0</v>
      </c>
      <c r="AF25" s="44">
        <v>0</v>
      </c>
      <c r="AG25" s="44">
        <v>0</v>
      </c>
      <c r="AH25" s="43" t="str">
        <f t="shared" si="21"/>
        <v/>
      </c>
      <c r="AI25" s="3" t="str">
        <f t="shared" si="22"/>
        <v/>
      </c>
      <c r="AJ25" s="3" t="str">
        <f t="shared" si="23"/>
        <v/>
      </c>
      <c r="AK25" s="3" t="str">
        <f t="shared" si="27"/>
        <v/>
      </c>
      <c r="AL25" s="30">
        <f t="shared" si="28"/>
        <v>0</v>
      </c>
      <c r="AM25" s="3" t="str">
        <f t="shared" si="24"/>
        <v/>
      </c>
      <c r="AN25" s="3" t="str">
        <f t="shared" si="25"/>
        <v/>
      </c>
      <c r="AO25" s="3" t="str">
        <f t="shared" si="12"/>
        <v/>
      </c>
      <c r="AP25" s="3" t="str">
        <f t="shared" si="26"/>
        <v/>
      </c>
    </row>
    <row r="26" spans="1:42" ht="33" customHeight="1">
      <c r="A26" s="107"/>
      <c r="B26" s="3" t="str">
        <f t="shared" si="0"/>
        <v>0</v>
      </c>
      <c r="C26" s="3" t="str">
        <f t="shared" si="1"/>
        <v>0</v>
      </c>
      <c r="D26" s="69"/>
      <c r="E26" s="43" t="str">
        <f t="shared" si="2"/>
        <v>0</v>
      </c>
      <c r="F26" s="43" t="str">
        <f t="shared" si="3"/>
        <v>0</v>
      </c>
      <c r="G26" s="69"/>
      <c r="H26" s="3" t="str">
        <f t="shared" si="4"/>
        <v>0</v>
      </c>
      <c r="I26" s="3" t="str">
        <f t="shared" si="5"/>
        <v>0</v>
      </c>
      <c r="J26" s="69"/>
      <c r="K26" s="3" t="str">
        <f t="shared" si="6"/>
        <v>0</v>
      </c>
      <c r="L26" s="3" t="str">
        <f t="shared" si="7"/>
        <v>0</v>
      </c>
      <c r="M26" s="58"/>
      <c r="N26" s="43" t="str">
        <f t="shared" si="13"/>
        <v/>
      </c>
      <c r="O26" s="43" t="str">
        <f t="shared" si="14"/>
        <v/>
      </c>
      <c r="P26" s="43" t="str">
        <f t="shared" si="15"/>
        <v/>
      </c>
      <c r="Q26" s="70" t="str">
        <f t="shared" si="16"/>
        <v/>
      </c>
      <c r="R26" s="43" t="str">
        <f t="shared" si="8"/>
        <v>0</v>
      </c>
      <c r="S26" s="43" t="str">
        <f t="shared" si="9"/>
        <v>0</v>
      </c>
      <c r="T26" s="69"/>
      <c r="U26" s="45" t="str">
        <f t="shared" si="17"/>
        <v/>
      </c>
      <c r="V26" s="43" t="str">
        <f t="shared" si="17"/>
        <v/>
      </c>
      <c r="W26" s="43" t="str">
        <f t="shared" si="18"/>
        <v/>
      </c>
      <c r="X26" s="43" t="str">
        <f t="shared" si="19"/>
        <v/>
      </c>
      <c r="Y26" s="46" t="e">
        <f t="shared" si="10"/>
        <v>#VALUE!</v>
      </c>
      <c r="Z26" s="46" t="e">
        <f t="shared" si="11"/>
        <v>#VALUE!</v>
      </c>
      <c r="AA26" s="59" t="str">
        <f t="shared" si="20"/>
        <v/>
      </c>
      <c r="AB26" s="43">
        <v>52800</v>
      </c>
      <c r="AC26" s="43"/>
      <c r="AD26" s="43"/>
      <c r="AE26" s="44">
        <v>0</v>
      </c>
      <c r="AF26" s="44">
        <v>0</v>
      </c>
      <c r="AG26" s="44">
        <v>0</v>
      </c>
      <c r="AH26" s="43" t="str">
        <f t="shared" si="21"/>
        <v/>
      </c>
      <c r="AI26" s="3" t="str">
        <f t="shared" si="22"/>
        <v/>
      </c>
      <c r="AJ26" s="3" t="str">
        <f t="shared" si="23"/>
        <v/>
      </c>
      <c r="AK26" s="3" t="str">
        <f t="shared" si="27"/>
        <v/>
      </c>
      <c r="AL26" s="30">
        <f t="shared" si="28"/>
        <v>0</v>
      </c>
      <c r="AM26" s="3" t="str">
        <f t="shared" si="24"/>
        <v/>
      </c>
      <c r="AN26" s="3" t="str">
        <f t="shared" si="25"/>
        <v/>
      </c>
      <c r="AO26" s="3" t="str">
        <f t="shared" si="12"/>
        <v/>
      </c>
      <c r="AP26" s="3" t="str">
        <f t="shared" si="26"/>
        <v/>
      </c>
    </row>
    <row r="27" spans="1:42" ht="33" customHeight="1">
      <c r="A27" s="107"/>
      <c r="B27" s="3" t="str">
        <f t="shared" si="0"/>
        <v>0</v>
      </c>
      <c r="C27" s="3" t="str">
        <f t="shared" si="1"/>
        <v>0</v>
      </c>
      <c r="D27" s="69"/>
      <c r="E27" s="43" t="str">
        <f t="shared" si="2"/>
        <v>0</v>
      </c>
      <c r="F27" s="43" t="str">
        <f t="shared" si="3"/>
        <v>0</v>
      </c>
      <c r="G27" s="69"/>
      <c r="H27" s="3" t="str">
        <f t="shared" si="4"/>
        <v>0</v>
      </c>
      <c r="I27" s="3" t="str">
        <f t="shared" si="5"/>
        <v>0</v>
      </c>
      <c r="J27" s="69"/>
      <c r="K27" s="3" t="str">
        <f t="shared" si="6"/>
        <v>0</v>
      </c>
      <c r="L27" s="3" t="str">
        <f t="shared" si="7"/>
        <v>0</v>
      </c>
      <c r="M27" s="58"/>
      <c r="N27" s="43" t="str">
        <f t="shared" si="13"/>
        <v/>
      </c>
      <c r="O27" s="43" t="str">
        <f t="shared" si="14"/>
        <v/>
      </c>
      <c r="P27" s="43" t="str">
        <f t="shared" si="15"/>
        <v/>
      </c>
      <c r="Q27" s="70" t="str">
        <f t="shared" si="16"/>
        <v/>
      </c>
      <c r="R27" s="43" t="str">
        <f t="shared" si="8"/>
        <v>0</v>
      </c>
      <c r="S27" s="43" t="str">
        <f t="shared" si="9"/>
        <v>0</v>
      </c>
      <c r="T27" s="69"/>
      <c r="U27" s="45" t="str">
        <f t="shared" si="17"/>
        <v/>
      </c>
      <c r="V27" s="43" t="str">
        <f t="shared" si="17"/>
        <v/>
      </c>
      <c r="W27" s="43" t="str">
        <f t="shared" si="18"/>
        <v/>
      </c>
      <c r="X27" s="43" t="str">
        <f t="shared" si="19"/>
        <v/>
      </c>
      <c r="Y27" s="46" t="e">
        <f t="shared" si="10"/>
        <v>#VALUE!</v>
      </c>
      <c r="Z27" s="46" t="e">
        <f t="shared" si="11"/>
        <v>#VALUE!</v>
      </c>
      <c r="AA27" s="59" t="str">
        <f t="shared" si="20"/>
        <v/>
      </c>
      <c r="AB27" s="43">
        <v>52800</v>
      </c>
      <c r="AC27" s="43"/>
      <c r="AD27" s="43"/>
      <c r="AE27" s="44">
        <v>0</v>
      </c>
      <c r="AF27" s="44">
        <v>0</v>
      </c>
      <c r="AG27" s="44">
        <v>0</v>
      </c>
      <c r="AH27" s="43" t="str">
        <f t="shared" si="21"/>
        <v/>
      </c>
      <c r="AI27" s="3" t="str">
        <f t="shared" si="22"/>
        <v/>
      </c>
      <c r="AJ27" s="3" t="str">
        <f t="shared" si="23"/>
        <v/>
      </c>
      <c r="AK27" s="3" t="str">
        <f t="shared" si="27"/>
        <v/>
      </c>
      <c r="AL27" s="30">
        <f t="shared" si="28"/>
        <v>0</v>
      </c>
      <c r="AM27" s="3" t="str">
        <f t="shared" si="24"/>
        <v/>
      </c>
      <c r="AN27" s="3" t="str">
        <f t="shared" si="25"/>
        <v/>
      </c>
      <c r="AO27" s="3" t="str">
        <f t="shared" si="12"/>
        <v/>
      </c>
      <c r="AP27" s="3" t="str">
        <f t="shared" si="26"/>
        <v/>
      </c>
    </row>
    <row r="28" spans="1:42" ht="33" customHeight="1">
      <c r="A28" s="107"/>
      <c r="B28" s="3" t="str">
        <f t="shared" si="0"/>
        <v>0</v>
      </c>
      <c r="C28" s="3" t="str">
        <f t="shared" si="1"/>
        <v>0</v>
      </c>
      <c r="D28" s="69"/>
      <c r="E28" s="43" t="str">
        <f t="shared" si="2"/>
        <v>0</v>
      </c>
      <c r="F28" s="43" t="str">
        <f t="shared" si="3"/>
        <v>0</v>
      </c>
      <c r="G28" s="69"/>
      <c r="H28" s="3" t="str">
        <f t="shared" si="4"/>
        <v>0</v>
      </c>
      <c r="I28" s="3" t="str">
        <f t="shared" si="5"/>
        <v>0</v>
      </c>
      <c r="J28" s="69"/>
      <c r="K28" s="3" t="str">
        <f t="shared" si="6"/>
        <v>0</v>
      </c>
      <c r="L28" s="3" t="str">
        <f t="shared" si="7"/>
        <v>0</v>
      </c>
      <c r="M28" s="58"/>
      <c r="N28" s="43" t="str">
        <f t="shared" si="13"/>
        <v/>
      </c>
      <c r="O28" s="43" t="str">
        <f t="shared" si="14"/>
        <v/>
      </c>
      <c r="P28" s="43" t="str">
        <f t="shared" si="15"/>
        <v/>
      </c>
      <c r="Q28" s="70" t="str">
        <f t="shared" si="16"/>
        <v/>
      </c>
      <c r="R28" s="43" t="str">
        <f t="shared" si="8"/>
        <v>0</v>
      </c>
      <c r="S28" s="43" t="str">
        <f t="shared" si="9"/>
        <v>0</v>
      </c>
      <c r="T28" s="69"/>
      <c r="U28" s="45" t="str">
        <f t="shared" si="17"/>
        <v/>
      </c>
      <c r="V28" s="43" t="str">
        <f t="shared" si="17"/>
        <v/>
      </c>
      <c r="W28" s="43" t="str">
        <f t="shared" si="18"/>
        <v/>
      </c>
      <c r="X28" s="43" t="str">
        <f t="shared" si="19"/>
        <v/>
      </c>
      <c r="Y28" s="46" t="e">
        <f t="shared" si="10"/>
        <v>#VALUE!</v>
      </c>
      <c r="Z28" s="46" t="e">
        <f t="shared" si="11"/>
        <v>#VALUE!</v>
      </c>
      <c r="AA28" s="59" t="str">
        <f t="shared" si="20"/>
        <v/>
      </c>
      <c r="AB28" s="43">
        <v>52800</v>
      </c>
      <c r="AC28" s="43"/>
      <c r="AD28" s="43"/>
      <c r="AE28" s="44">
        <v>0</v>
      </c>
      <c r="AF28" s="44">
        <v>0</v>
      </c>
      <c r="AG28" s="44">
        <v>0</v>
      </c>
      <c r="AH28" s="43" t="str">
        <f t="shared" si="21"/>
        <v/>
      </c>
      <c r="AI28" s="3" t="str">
        <f t="shared" si="22"/>
        <v/>
      </c>
      <c r="AJ28" s="3" t="str">
        <f t="shared" si="23"/>
        <v/>
      </c>
      <c r="AK28" s="3" t="str">
        <f t="shared" si="27"/>
        <v/>
      </c>
      <c r="AL28" s="30">
        <f t="shared" si="28"/>
        <v>0</v>
      </c>
      <c r="AM28" s="3" t="str">
        <f t="shared" si="24"/>
        <v/>
      </c>
      <c r="AN28" s="3" t="str">
        <f t="shared" si="25"/>
        <v/>
      </c>
      <c r="AO28" s="3" t="str">
        <f t="shared" si="12"/>
        <v/>
      </c>
      <c r="AP28" s="3" t="str">
        <f t="shared" si="26"/>
        <v/>
      </c>
    </row>
    <row r="29" spans="1:42" ht="33" customHeight="1">
      <c r="A29" s="107"/>
      <c r="B29" s="3" t="str">
        <f t="shared" si="0"/>
        <v>0</v>
      </c>
      <c r="C29" s="3" t="str">
        <f t="shared" si="1"/>
        <v>0</v>
      </c>
      <c r="D29" s="69"/>
      <c r="E29" s="43" t="str">
        <f t="shared" si="2"/>
        <v>0</v>
      </c>
      <c r="F29" s="43" t="str">
        <f t="shared" si="3"/>
        <v>0</v>
      </c>
      <c r="G29" s="69"/>
      <c r="H29" s="3" t="str">
        <f t="shared" si="4"/>
        <v>0</v>
      </c>
      <c r="I29" s="3" t="str">
        <f t="shared" si="5"/>
        <v>0</v>
      </c>
      <c r="J29" s="69"/>
      <c r="K29" s="3" t="str">
        <f t="shared" si="6"/>
        <v>0</v>
      </c>
      <c r="L29" s="3" t="str">
        <f t="shared" si="7"/>
        <v>0</v>
      </c>
      <c r="M29" s="58"/>
      <c r="N29" s="43" t="str">
        <f t="shared" si="13"/>
        <v/>
      </c>
      <c r="O29" s="43" t="str">
        <f t="shared" si="14"/>
        <v/>
      </c>
      <c r="P29" s="43" t="str">
        <f t="shared" si="15"/>
        <v/>
      </c>
      <c r="Q29" s="70" t="str">
        <f t="shared" si="16"/>
        <v/>
      </c>
      <c r="R29" s="43" t="str">
        <f t="shared" si="8"/>
        <v>0</v>
      </c>
      <c r="S29" s="43" t="str">
        <f t="shared" si="9"/>
        <v>0</v>
      </c>
      <c r="T29" s="69"/>
      <c r="U29" s="45" t="str">
        <f t="shared" si="17"/>
        <v/>
      </c>
      <c r="V29" s="43" t="str">
        <f t="shared" si="17"/>
        <v/>
      </c>
      <c r="W29" s="43" t="str">
        <f t="shared" si="18"/>
        <v/>
      </c>
      <c r="X29" s="43" t="str">
        <f t="shared" si="19"/>
        <v/>
      </c>
      <c r="Y29" s="46" t="e">
        <f t="shared" si="10"/>
        <v>#VALUE!</v>
      </c>
      <c r="Z29" s="46" t="e">
        <f t="shared" si="11"/>
        <v>#VALUE!</v>
      </c>
      <c r="AA29" s="59" t="str">
        <f t="shared" si="20"/>
        <v/>
      </c>
      <c r="AB29" s="43">
        <v>52800</v>
      </c>
      <c r="AC29" s="43"/>
      <c r="AD29" s="43"/>
      <c r="AE29" s="44">
        <v>0</v>
      </c>
      <c r="AF29" s="44">
        <v>0</v>
      </c>
      <c r="AG29" s="44">
        <v>0</v>
      </c>
      <c r="AH29" s="43" t="str">
        <f t="shared" si="21"/>
        <v/>
      </c>
      <c r="AI29" s="3" t="str">
        <f t="shared" si="22"/>
        <v/>
      </c>
      <c r="AJ29" s="3" t="str">
        <f t="shared" si="23"/>
        <v/>
      </c>
      <c r="AK29" s="3" t="str">
        <f t="shared" si="27"/>
        <v/>
      </c>
      <c r="AL29" s="30">
        <f t="shared" si="28"/>
        <v>0</v>
      </c>
      <c r="AM29" s="3" t="str">
        <f t="shared" si="24"/>
        <v/>
      </c>
      <c r="AN29" s="3" t="str">
        <f t="shared" si="25"/>
        <v/>
      </c>
      <c r="AO29" s="3" t="str">
        <f t="shared" si="12"/>
        <v/>
      </c>
      <c r="AP29" s="3" t="str">
        <f t="shared" si="26"/>
        <v/>
      </c>
    </row>
    <row r="30" spans="1:42" ht="33" customHeight="1">
      <c r="A30" s="107"/>
      <c r="B30" s="3" t="str">
        <f t="shared" si="0"/>
        <v>0</v>
      </c>
      <c r="C30" s="3" t="str">
        <f t="shared" si="1"/>
        <v>0</v>
      </c>
      <c r="D30" s="69"/>
      <c r="E30" s="43" t="str">
        <f t="shared" si="2"/>
        <v>0</v>
      </c>
      <c r="F30" s="43" t="str">
        <f t="shared" si="3"/>
        <v>0</v>
      </c>
      <c r="G30" s="69"/>
      <c r="H30" s="3" t="str">
        <f t="shared" si="4"/>
        <v>0</v>
      </c>
      <c r="I30" s="3" t="str">
        <f t="shared" si="5"/>
        <v>0</v>
      </c>
      <c r="J30" s="69"/>
      <c r="K30" s="3" t="str">
        <f t="shared" si="6"/>
        <v>0</v>
      </c>
      <c r="L30" s="3" t="str">
        <f t="shared" si="7"/>
        <v>0</v>
      </c>
      <c r="M30" s="58"/>
      <c r="N30" s="43" t="str">
        <f t="shared" si="13"/>
        <v/>
      </c>
      <c r="O30" s="43" t="str">
        <f t="shared" si="14"/>
        <v/>
      </c>
      <c r="P30" s="43" t="str">
        <f t="shared" si="15"/>
        <v/>
      </c>
      <c r="Q30" s="70" t="str">
        <f t="shared" si="16"/>
        <v/>
      </c>
      <c r="R30" s="43" t="str">
        <f t="shared" si="8"/>
        <v>0</v>
      </c>
      <c r="S30" s="43" t="str">
        <f t="shared" si="9"/>
        <v>0</v>
      </c>
      <c r="T30" s="69"/>
      <c r="U30" s="45" t="str">
        <f t="shared" si="17"/>
        <v/>
      </c>
      <c r="V30" s="43" t="str">
        <f t="shared" si="17"/>
        <v/>
      </c>
      <c r="W30" s="43" t="str">
        <f t="shared" si="18"/>
        <v/>
      </c>
      <c r="X30" s="43" t="str">
        <f t="shared" si="19"/>
        <v/>
      </c>
      <c r="Y30" s="46" t="e">
        <f t="shared" si="10"/>
        <v>#VALUE!</v>
      </c>
      <c r="Z30" s="46" t="e">
        <f t="shared" si="11"/>
        <v>#VALUE!</v>
      </c>
      <c r="AA30" s="59" t="str">
        <f t="shared" si="20"/>
        <v/>
      </c>
      <c r="AB30" s="43">
        <v>52800</v>
      </c>
      <c r="AC30" s="43"/>
      <c r="AD30" s="43"/>
      <c r="AE30" s="44">
        <v>0</v>
      </c>
      <c r="AF30" s="44">
        <v>0</v>
      </c>
      <c r="AG30" s="44">
        <v>0</v>
      </c>
      <c r="AH30" s="43" t="str">
        <f t="shared" si="21"/>
        <v/>
      </c>
      <c r="AI30" s="3" t="str">
        <f t="shared" si="22"/>
        <v/>
      </c>
      <c r="AJ30" s="3" t="str">
        <f t="shared" si="23"/>
        <v/>
      </c>
      <c r="AK30" s="3" t="str">
        <f t="shared" si="27"/>
        <v/>
      </c>
      <c r="AL30" s="30">
        <f t="shared" si="28"/>
        <v>0</v>
      </c>
      <c r="AM30" s="3" t="str">
        <f t="shared" si="24"/>
        <v/>
      </c>
      <c r="AN30" s="3" t="str">
        <f t="shared" si="25"/>
        <v/>
      </c>
      <c r="AO30" s="3" t="str">
        <f t="shared" si="12"/>
        <v/>
      </c>
      <c r="AP30" s="3" t="str">
        <f t="shared" si="26"/>
        <v/>
      </c>
    </row>
    <row r="31" spans="1:42" ht="33" customHeight="1">
      <c r="A31" s="107"/>
      <c r="B31" s="3" t="str">
        <f t="shared" si="0"/>
        <v>0</v>
      </c>
      <c r="C31" s="3" t="str">
        <f t="shared" si="1"/>
        <v>0</v>
      </c>
      <c r="D31" s="69"/>
      <c r="E31" s="43" t="str">
        <f t="shared" si="2"/>
        <v>0</v>
      </c>
      <c r="F31" s="43" t="str">
        <f t="shared" si="3"/>
        <v>0</v>
      </c>
      <c r="G31" s="69"/>
      <c r="H31" s="3" t="str">
        <f t="shared" si="4"/>
        <v>0</v>
      </c>
      <c r="I31" s="3" t="str">
        <f t="shared" si="5"/>
        <v>0</v>
      </c>
      <c r="J31" s="69"/>
      <c r="K31" s="3" t="str">
        <f t="shared" si="6"/>
        <v>0</v>
      </c>
      <c r="L31" s="3" t="str">
        <f t="shared" si="7"/>
        <v>0</v>
      </c>
      <c r="M31" s="58"/>
      <c r="N31" s="43" t="str">
        <f t="shared" si="13"/>
        <v/>
      </c>
      <c r="O31" s="43" t="str">
        <f t="shared" si="14"/>
        <v/>
      </c>
      <c r="P31" s="43" t="str">
        <f t="shared" si="15"/>
        <v/>
      </c>
      <c r="Q31" s="70" t="str">
        <f t="shared" si="16"/>
        <v/>
      </c>
      <c r="R31" s="43" t="str">
        <f t="shared" si="8"/>
        <v>0</v>
      </c>
      <c r="S31" s="43" t="str">
        <f t="shared" si="9"/>
        <v>0</v>
      </c>
      <c r="T31" s="69"/>
      <c r="U31" s="45" t="str">
        <f t="shared" si="17"/>
        <v/>
      </c>
      <c r="V31" s="43" t="str">
        <f t="shared" si="17"/>
        <v/>
      </c>
      <c r="W31" s="43" t="str">
        <f t="shared" si="18"/>
        <v/>
      </c>
      <c r="X31" s="43" t="str">
        <f t="shared" si="19"/>
        <v/>
      </c>
      <c r="Y31" s="46" t="e">
        <f t="shared" si="10"/>
        <v>#VALUE!</v>
      </c>
      <c r="Z31" s="46" t="e">
        <f t="shared" si="11"/>
        <v>#VALUE!</v>
      </c>
      <c r="AA31" s="59" t="str">
        <f t="shared" si="20"/>
        <v/>
      </c>
      <c r="AB31" s="43">
        <v>52800</v>
      </c>
      <c r="AC31" s="43"/>
      <c r="AD31" s="43"/>
      <c r="AE31" s="44">
        <v>0</v>
      </c>
      <c r="AF31" s="44">
        <v>0</v>
      </c>
      <c r="AG31" s="44">
        <v>0</v>
      </c>
      <c r="AH31" s="43" t="str">
        <f t="shared" si="21"/>
        <v/>
      </c>
      <c r="AI31" s="3" t="str">
        <f>IF(M31="","",M31)</f>
        <v/>
      </c>
      <c r="AJ31" s="3" t="str">
        <f t="shared" si="23"/>
        <v/>
      </c>
      <c r="AK31" s="3" t="str">
        <f t="shared" si="27"/>
        <v/>
      </c>
      <c r="AL31" s="30">
        <f t="shared" si="28"/>
        <v>0</v>
      </c>
      <c r="AM31" s="3" t="str">
        <f t="shared" si="24"/>
        <v/>
      </c>
      <c r="AN31" s="3" t="str">
        <f t="shared" si="25"/>
        <v/>
      </c>
      <c r="AO31" s="3" t="str">
        <f t="shared" si="12"/>
        <v/>
      </c>
      <c r="AP31" s="3" t="str">
        <f t="shared" si="26"/>
        <v/>
      </c>
    </row>
    <row r="32" spans="1:42" ht="33" customHeight="1">
      <c r="A32" s="107"/>
      <c r="B32" s="3" t="str">
        <f t="shared" si="0"/>
        <v>0</v>
      </c>
      <c r="C32" s="3" t="str">
        <f t="shared" si="1"/>
        <v>0</v>
      </c>
      <c r="D32" s="69"/>
      <c r="E32" s="43" t="str">
        <f t="shared" si="2"/>
        <v>0</v>
      </c>
      <c r="F32" s="43" t="str">
        <f t="shared" si="3"/>
        <v>0</v>
      </c>
      <c r="G32" s="69"/>
      <c r="H32" s="3" t="str">
        <f t="shared" si="4"/>
        <v>0</v>
      </c>
      <c r="I32" s="3" t="str">
        <f t="shared" si="5"/>
        <v>0</v>
      </c>
      <c r="J32" s="69"/>
      <c r="K32" s="3" t="str">
        <f t="shared" si="6"/>
        <v>0</v>
      </c>
      <c r="L32" s="3" t="str">
        <f t="shared" si="7"/>
        <v>0</v>
      </c>
      <c r="M32" s="58"/>
      <c r="N32" s="43" t="str">
        <f t="shared" si="13"/>
        <v/>
      </c>
      <c r="O32" s="43" t="str">
        <f t="shared" si="14"/>
        <v/>
      </c>
      <c r="P32" s="43" t="str">
        <f t="shared" si="15"/>
        <v/>
      </c>
      <c r="Q32" s="70" t="str">
        <f t="shared" si="16"/>
        <v/>
      </c>
      <c r="R32" s="43" t="str">
        <f t="shared" si="8"/>
        <v>0</v>
      </c>
      <c r="S32" s="43" t="str">
        <f t="shared" si="9"/>
        <v>0</v>
      </c>
      <c r="T32" s="69"/>
      <c r="U32" s="45" t="str">
        <f t="shared" si="17"/>
        <v/>
      </c>
      <c r="V32" s="43" t="str">
        <f t="shared" si="17"/>
        <v/>
      </c>
      <c r="W32" s="43" t="str">
        <f t="shared" si="18"/>
        <v/>
      </c>
      <c r="X32" s="43" t="str">
        <f t="shared" si="19"/>
        <v/>
      </c>
      <c r="Y32" s="46" t="e">
        <f t="shared" si="10"/>
        <v>#VALUE!</v>
      </c>
      <c r="Z32" s="46" t="e">
        <f t="shared" si="11"/>
        <v>#VALUE!</v>
      </c>
      <c r="AA32" s="59" t="str">
        <f t="shared" si="20"/>
        <v/>
      </c>
      <c r="AB32" s="43">
        <v>52800</v>
      </c>
      <c r="AC32" s="43"/>
      <c r="AD32" s="43"/>
      <c r="AE32" s="44">
        <v>0</v>
      </c>
      <c r="AF32" s="44">
        <v>0</v>
      </c>
      <c r="AG32" s="44">
        <v>0</v>
      </c>
      <c r="AH32" s="43" t="str">
        <f t="shared" si="21"/>
        <v/>
      </c>
      <c r="AI32" s="3" t="str">
        <f t="shared" si="22"/>
        <v/>
      </c>
      <c r="AJ32" s="3" t="str">
        <f t="shared" si="23"/>
        <v/>
      </c>
      <c r="AK32" s="3" t="str">
        <f t="shared" si="27"/>
        <v/>
      </c>
      <c r="AL32" s="30">
        <f t="shared" si="28"/>
        <v>0</v>
      </c>
      <c r="AM32" s="3" t="str">
        <f t="shared" si="24"/>
        <v/>
      </c>
      <c r="AN32" s="3" t="str">
        <f t="shared" si="25"/>
        <v/>
      </c>
      <c r="AO32" s="3" t="str">
        <f t="shared" si="12"/>
        <v/>
      </c>
      <c r="AP32" s="3" t="str">
        <f t="shared" si="26"/>
        <v/>
      </c>
    </row>
    <row r="33" spans="1:42" ht="33" customHeight="1">
      <c r="A33" s="107"/>
      <c r="B33" s="3" t="str">
        <f>IF(D33=0,"0",ROUND(D33/1.05,0))</f>
        <v>0</v>
      </c>
      <c r="C33" s="3" t="str">
        <f>IF(D33=0,"0",ROUND(B33*0.05,0))</f>
        <v>0</v>
      </c>
      <c r="D33" s="69"/>
      <c r="E33" s="43" t="str">
        <f>IF(G33=0,"0",ROUND(G33/1.05,0))</f>
        <v>0</v>
      </c>
      <c r="F33" s="43" t="str">
        <f>IF(G33=0,"0",ROUND(E33*0.05,0))</f>
        <v>0</v>
      </c>
      <c r="G33" s="69"/>
      <c r="H33" s="3" t="str">
        <f>IF(J33=0,"0",ROUND(J33/1.05,0))</f>
        <v>0</v>
      </c>
      <c r="I33" s="3" t="str">
        <f>IF(J33=0,"0",ROUND(H33*0.05,0))</f>
        <v>0</v>
      </c>
      <c r="J33" s="69"/>
      <c r="K33" s="3" t="str">
        <f>IF(M33=0,"0",ROUND(M33/1.05,0))</f>
        <v>0</v>
      </c>
      <c r="L33" s="3" t="str">
        <f>IF(M33=0,"0",ROUND(K33*0.05,0))</f>
        <v>0</v>
      </c>
      <c r="M33" s="58"/>
      <c r="N33" s="43" t="str">
        <f t="shared" si="13"/>
        <v/>
      </c>
      <c r="O33" s="43" t="str">
        <f t="shared" si="14"/>
        <v/>
      </c>
      <c r="P33" s="43" t="str">
        <f t="shared" si="15"/>
        <v/>
      </c>
      <c r="Q33" s="70" t="str">
        <f t="shared" si="16"/>
        <v/>
      </c>
      <c r="R33" s="43" t="str">
        <f>IF(T33=0,"0",ROUND(T33/1.05,0))</f>
        <v>0</v>
      </c>
      <c r="S33" s="43" t="str">
        <f>IF(T33=0,"0",ROUND(R33*0.05,0))</f>
        <v>0</v>
      </c>
      <c r="T33" s="69"/>
      <c r="U33" s="45" t="str">
        <f t="shared" si="17"/>
        <v/>
      </c>
      <c r="V33" s="43" t="str">
        <f t="shared" si="17"/>
        <v/>
      </c>
      <c r="W33" s="43" t="str">
        <f t="shared" si="18"/>
        <v/>
      </c>
      <c r="X33" s="43" t="str">
        <f t="shared" si="19"/>
        <v/>
      </c>
      <c r="Y33" s="46" t="e">
        <f t="shared" si="10"/>
        <v>#VALUE!</v>
      </c>
      <c r="Z33" s="46" t="e">
        <f t="shared" si="11"/>
        <v>#VALUE!</v>
      </c>
      <c r="AA33" s="59" t="str">
        <f t="shared" si="20"/>
        <v/>
      </c>
      <c r="AB33" s="43">
        <v>52800</v>
      </c>
      <c r="AC33" s="43"/>
      <c r="AD33" s="43"/>
      <c r="AE33" s="44">
        <v>0</v>
      </c>
      <c r="AF33" s="44">
        <v>0</v>
      </c>
      <c r="AG33" s="44">
        <v>0</v>
      </c>
      <c r="AH33" s="43" t="str">
        <f t="shared" si="21"/>
        <v/>
      </c>
      <c r="AI33" s="3" t="str">
        <f t="shared" si="22"/>
        <v/>
      </c>
      <c r="AJ33" s="3" t="str">
        <f t="shared" si="23"/>
        <v/>
      </c>
      <c r="AK33" s="3" t="str">
        <f t="shared" si="27"/>
        <v/>
      </c>
      <c r="AL33" s="30">
        <f t="shared" si="28"/>
        <v>0</v>
      </c>
      <c r="AM33" s="3" t="str">
        <f t="shared" si="24"/>
        <v/>
      </c>
      <c r="AN33" s="3" t="str">
        <f t="shared" si="25"/>
        <v/>
      </c>
      <c r="AO33" s="3" t="str">
        <f t="shared" si="12"/>
        <v/>
      </c>
      <c r="AP33" s="3" t="str">
        <f t="shared" si="26"/>
        <v/>
      </c>
    </row>
    <row r="34" spans="1:42" ht="33" customHeight="1">
      <c r="A34" s="107"/>
      <c r="B34" s="3" t="str">
        <f>IF(D34=0,"0",ROUND(D34/1.05,0))</f>
        <v>0</v>
      </c>
      <c r="C34" s="3" t="str">
        <f>IF(D34=0,"0",ROUND(B34*0.05,0))</f>
        <v>0</v>
      </c>
      <c r="D34" s="69"/>
      <c r="E34" s="43" t="str">
        <f>IF(G34=0,"0",ROUND(G34/1.05,0))</f>
        <v>0</v>
      </c>
      <c r="F34" s="43" t="str">
        <f>IF(G34=0,"0",ROUND(E34*0.05,0))</f>
        <v>0</v>
      </c>
      <c r="G34" s="69"/>
      <c r="H34" s="3" t="str">
        <f>IF(J34=0,"0",ROUND(J34/1.05,0))</f>
        <v>0</v>
      </c>
      <c r="I34" s="3" t="str">
        <f>IF(J34=0,"0",ROUND(H34*0.05,0))</f>
        <v>0</v>
      </c>
      <c r="J34" s="69"/>
      <c r="K34" s="3" t="str">
        <f>IF(M34=0,"0",ROUND(M34/1.05,0))</f>
        <v>0</v>
      </c>
      <c r="L34" s="3" t="str">
        <f>IF(M34=0,"0",ROUND(K34*0.05,0))</f>
        <v>0</v>
      </c>
      <c r="M34" s="58"/>
      <c r="N34" s="43" t="str">
        <f t="shared" si="13"/>
        <v/>
      </c>
      <c r="O34" s="43" t="str">
        <f t="shared" si="14"/>
        <v/>
      </c>
      <c r="P34" s="43" t="str">
        <f t="shared" si="15"/>
        <v/>
      </c>
      <c r="Q34" s="70" t="str">
        <f t="shared" si="16"/>
        <v/>
      </c>
      <c r="R34" s="43" t="str">
        <f>IF(T34=0,"0",ROUND(T34/1.05,0))</f>
        <v>0</v>
      </c>
      <c r="S34" s="43" t="str">
        <f>IF(T34=0,"0",ROUND(R34*0.05,0))</f>
        <v>0</v>
      </c>
      <c r="T34" s="69"/>
      <c r="U34" s="45" t="str">
        <f t="shared" ref="U34:V34" si="29">IF(OR(N34="",R34=""),"",N34+R34)</f>
        <v/>
      </c>
      <c r="V34" s="43" t="str">
        <f t="shared" si="29"/>
        <v/>
      </c>
      <c r="W34" s="43" t="str">
        <f t="shared" si="18"/>
        <v/>
      </c>
      <c r="X34" s="43" t="str">
        <f t="shared" si="19"/>
        <v/>
      </c>
      <c r="Y34" s="46" t="e">
        <f t="shared" si="10"/>
        <v>#VALUE!</v>
      </c>
      <c r="Z34" s="46" t="e">
        <f t="shared" si="11"/>
        <v>#VALUE!</v>
      </c>
      <c r="AA34" s="59" t="str">
        <f t="shared" si="20"/>
        <v/>
      </c>
      <c r="AB34" s="43">
        <v>52800</v>
      </c>
      <c r="AC34" s="43"/>
      <c r="AD34" s="43"/>
      <c r="AE34" s="43">
        <v>0</v>
      </c>
      <c r="AF34" s="43">
        <v>0</v>
      </c>
      <c r="AG34" s="43">
        <v>0</v>
      </c>
      <c r="AH34" s="43" t="str">
        <f t="shared" si="21"/>
        <v/>
      </c>
      <c r="AI34" s="3" t="str">
        <f>IF(M34="","",M34)</f>
        <v/>
      </c>
      <c r="AJ34" s="3" t="str">
        <f t="shared" si="23"/>
        <v/>
      </c>
      <c r="AK34" s="3" t="str">
        <f t="shared" si="27"/>
        <v/>
      </c>
      <c r="AL34" s="30">
        <f t="shared" si="28"/>
        <v>0</v>
      </c>
      <c r="AM34" s="3" t="str">
        <f t="shared" si="24"/>
        <v/>
      </c>
      <c r="AN34" s="3" t="str">
        <f t="shared" si="25"/>
        <v/>
      </c>
      <c r="AO34" s="3" t="str">
        <f t="shared" si="12"/>
        <v/>
      </c>
      <c r="AP34" s="3" t="str">
        <f t="shared" si="26"/>
        <v/>
      </c>
    </row>
    <row r="35" spans="1:42" ht="32.25" customHeight="1" thickBot="1">
      <c r="A35" s="49" t="s">
        <v>11</v>
      </c>
      <c r="B35" s="50">
        <f t="shared" ref="B35:X35" si="30">SUM(B4:B34)</f>
        <v>0</v>
      </c>
      <c r="C35" s="50">
        <f t="shared" si="30"/>
        <v>0</v>
      </c>
      <c r="D35" s="51"/>
      <c r="E35" s="50">
        <f t="shared" si="30"/>
        <v>0</v>
      </c>
      <c r="F35" s="50">
        <f t="shared" si="30"/>
        <v>0</v>
      </c>
      <c r="G35" s="51"/>
      <c r="H35" s="50">
        <f t="shared" si="30"/>
        <v>0</v>
      </c>
      <c r="I35" s="50">
        <f t="shared" si="30"/>
        <v>0</v>
      </c>
      <c r="J35" s="51"/>
      <c r="K35" s="50">
        <f t="shared" si="30"/>
        <v>0</v>
      </c>
      <c r="L35" s="50">
        <f t="shared" si="30"/>
        <v>0</v>
      </c>
      <c r="M35" s="51"/>
      <c r="N35" s="50">
        <f t="shared" si="30"/>
        <v>0</v>
      </c>
      <c r="O35" s="50">
        <f t="shared" si="30"/>
        <v>0</v>
      </c>
      <c r="P35" s="50">
        <f t="shared" si="30"/>
        <v>0</v>
      </c>
      <c r="Q35" s="50">
        <f t="shared" si="30"/>
        <v>0</v>
      </c>
      <c r="R35" s="51">
        <f t="shared" si="30"/>
        <v>0</v>
      </c>
      <c r="S35" s="51">
        <f t="shared" si="30"/>
        <v>0</v>
      </c>
      <c r="T35" s="50"/>
      <c r="U35" s="52">
        <f t="shared" si="30"/>
        <v>0</v>
      </c>
      <c r="V35" s="51">
        <f t="shared" si="30"/>
        <v>0</v>
      </c>
      <c r="W35" s="50">
        <f t="shared" si="30"/>
        <v>0</v>
      </c>
      <c r="X35" s="50">
        <f t="shared" si="30"/>
        <v>0</v>
      </c>
      <c r="Y35" s="53" t="e">
        <f>IF(B35="","",(B35)/N35)</f>
        <v>#DIV/0!</v>
      </c>
      <c r="Z35" s="53" t="e">
        <f t="shared" si="11"/>
        <v>#DIV/0!</v>
      </c>
      <c r="AA35" s="50">
        <f t="shared" ref="AA35:AK35" si="31">SUM(AA4:AA34)</f>
        <v>0</v>
      </c>
      <c r="AB35" s="50">
        <f t="shared" si="31"/>
        <v>1636800</v>
      </c>
      <c r="AC35" s="50">
        <f t="shared" si="31"/>
        <v>0</v>
      </c>
      <c r="AD35" s="50">
        <f t="shared" si="31"/>
        <v>0</v>
      </c>
      <c r="AE35" s="50">
        <f t="shared" si="31"/>
        <v>0</v>
      </c>
      <c r="AF35" s="50">
        <f t="shared" si="31"/>
        <v>0</v>
      </c>
      <c r="AG35" s="50">
        <f t="shared" si="31"/>
        <v>0</v>
      </c>
      <c r="AH35" s="50">
        <f t="shared" si="31"/>
        <v>0</v>
      </c>
      <c r="AI35" s="50">
        <f t="shared" si="31"/>
        <v>0</v>
      </c>
      <c r="AJ35" s="50">
        <f t="shared" si="31"/>
        <v>0</v>
      </c>
      <c r="AK35" s="4">
        <f t="shared" si="31"/>
        <v>0</v>
      </c>
      <c r="AL35" s="4">
        <f>SUM(AL4:AL34)</f>
        <v>0</v>
      </c>
      <c r="AM35" s="4">
        <f>SUM(AM4:AM34)</f>
        <v>0</v>
      </c>
      <c r="AN35" s="4">
        <f t="shared" ref="AN35:AP35" si="32">SUM(AN4:AN34)</f>
        <v>0</v>
      </c>
      <c r="AO35" s="4">
        <f>SUM(AO4:AO34)</f>
        <v>0</v>
      </c>
      <c r="AP35" s="4">
        <f t="shared" si="32"/>
        <v>0</v>
      </c>
    </row>
    <row r="36" spans="1:42" ht="17.25" thickTop="1">
      <c r="AF36" s="56">
        <f>SUMIF(AF4:AF34,"&gt;0")</f>
        <v>0</v>
      </c>
      <c r="AG36" s="72"/>
      <c r="AH36" s="56">
        <f>ROUND(AF36/1.05,0)</f>
        <v>0</v>
      </c>
      <c r="AI36" s="31"/>
      <c r="AJ36" s="31"/>
    </row>
    <row r="37" spans="1:42">
      <c r="AF37" s="56">
        <f>-SUMIF(AF4:AF34,"&lt;0")</f>
        <v>0</v>
      </c>
      <c r="AG37" s="72"/>
    </row>
    <row r="38" spans="1:42" ht="17.25" thickBot="1">
      <c r="AK38" s="76"/>
    </row>
    <row r="39" spans="1:42">
      <c r="AE39" s="120"/>
      <c r="AF39" s="122" t="s">
        <v>48</v>
      </c>
      <c r="AG39" s="122"/>
      <c r="AH39" s="123" t="s">
        <v>94</v>
      </c>
      <c r="AI39" s="124"/>
      <c r="AK39" s="76"/>
      <c r="AL39" s="125" t="s">
        <v>95</v>
      </c>
      <c r="AM39" s="77" t="s">
        <v>96</v>
      </c>
      <c r="AN39" s="77" t="s">
        <v>97</v>
      </c>
      <c r="AO39" s="77" t="s">
        <v>98</v>
      </c>
    </row>
    <row r="40" spans="1:42">
      <c r="AE40" s="121"/>
      <c r="AF40" s="73" t="s">
        <v>99</v>
      </c>
      <c r="AG40" s="73" t="s">
        <v>92</v>
      </c>
      <c r="AH40" s="78" t="s">
        <v>100</v>
      </c>
      <c r="AI40" s="79" t="s">
        <v>101</v>
      </c>
      <c r="AK40" s="76"/>
      <c r="AL40" s="125"/>
      <c r="AM40" s="80"/>
      <c r="AN40" s="80"/>
      <c r="AO40" s="80">
        <f>SUM(AM40:AN40)</f>
        <v>0</v>
      </c>
    </row>
    <row r="41" spans="1:42">
      <c r="AE41" s="81" t="s">
        <v>102</v>
      </c>
      <c r="AF41" s="74">
        <f>ROUND(AG41/1.05,0)</f>
        <v>0</v>
      </c>
      <c r="AG41" s="74">
        <f>SUMIF(AF4:AF34,"&gt;0")</f>
        <v>0</v>
      </c>
      <c r="AH41" s="82">
        <f>ROUND(AI41/1.05,0)</f>
        <v>0</v>
      </c>
      <c r="AI41" s="83">
        <f>SUMIF(AG4:AG34,"&gt;0")</f>
        <v>0</v>
      </c>
      <c r="AK41" s="76"/>
    </row>
    <row r="42" spans="1:42" ht="17.25" thickBot="1">
      <c r="AE42" s="84" t="s">
        <v>103</v>
      </c>
      <c r="AF42" s="85"/>
      <c r="AG42" s="75">
        <f>-SUMIF(AF4:AF34,"&lt;0")</f>
        <v>0</v>
      </c>
      <c r="AH42" s="86"/>
      <c r="AI42" s="87">
        <f>-SUMIF(AG4:AG34,"&lt;0")</f>
        <v>0</v>
      </c>
      <c r="AK42" s="76"/>
    </row>
    <row r="43" spans="1:42">
      <c r="AK43" s="76"/>
    </row>
  </sheetData>
  <mergeCells count="25">
    <mergeCell ref="AE39:AE40"/>
    <mergeCell ref="AF39:AG39"/>
    <mergeCell ref="AH39:AI39"/>
    <mergeCell ref="AL39:AL40"/>
    <mergeCell ref="A1:A3"/>
    <mergeCell ref="B1:X1"/>
    <mergeCell ref="Y1:Z2"/>
    <mergeCell ref="AA1:AJ1"/>
    <mergeCell ref="R2:T2"/>
    <mergeCell ref="U2:X2"/>
    <mergeCell ref="AA2:AA3"/>
    <mergeCell ref="AB2:AB3"/>
    <mergeCell ref="AC2:AD2"/>
    <mergeCell ref="AI2:AI3"/>
    <mergeCell ref="AJ2:AJ3"/>
    <mergeCell ref="B2:D2"/>
    <mergeCell ref="AK2:AK3"/>
    <mergeCell ref="AL2:AL3"/>
    <mergeCell ref="AM2:AP2"/>
    <mergeCell ref="AK1:AP1"/>
    <mergeCell ref="E2:G2"/>
    <mergeCell ref="H2:J2"/>
    <mergeCell ref="K2:M2"/>
    <mergeCell ref="N2:Q2"/>
    <mergeCell ref="AH2:AH3"/>
  </mergeCells>
  <phoneticPr fontId="7" type="noConversion"/>
  <conditionalFormatting sqref="AF3">
    <cfRule type="expression" dxfId="11" priority="9">
      <formula>$AF$3&gt;20</formula>
    </cfRule>
    <cfRule type="expression" dxfId="10" priority="10">
      <formula>AND($AF$3&gt;10,$AF$3&lt;21)</formula>
    </cfRule>
    <cfRule type="expression" dxfId="9" priority="11">
      <formula>AND($AF$3&gt;5,$AF$3&lt;11)</formula>
    </cfRule>
    <cfRule type="expression" dxfId="8" priority="12">
      <formula>$AF$3&lt;=5</formula>
    </cfRule>
  </conditionalFormatting>
  <conditionalFormatting sqref="AE3">
    <cfRule type="expression" dxfId="7" priority="5">
      <formula>$AF$3&gt;20</formula>
    </cfRule>
    <cfRule type="expression" dxfId="6" priority="6">
      <formula>AND($AF$3&gt;10,$AF$3&lt;21)</formula>
    </cfRule>
    <cfRule type="expression" dxfId="5" priority="7">
      <formula>AND($AF$3&gt;5,$AF$3&lt;11)</formula>
    </cfRule>
    <cfRule type="expression" dxfId="4" priority="8">
      <formula>$AF$3&lt;=5</formula>
    </cfRule>
  </conditionalFormatting>
  <conditionalFormatting sqref="AG3">
    <cfRule type="expression" dxfId="3" priority="1">
      <formula>$AF$3&gt;20</formula>
    </cfRule>
    <cfRule type="expression" dxfId="2" priority="2">
      <formula>AND($AF$3&gt;10,$AF$3&lt;21)</formula>
    </cfRule>
    <cfRule type="expression" dxfId="1" priority="3">
      <formula>AND($AF$3&gt;5,$AF$3&lt;11)</formula>
    </cfRule>
    <cfRule type="expression" dxfId="0" priority="4">
      <formula>$AF$3&lt;=5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ExcelUpload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 雅婷</dc:creator>
  <cp:lastModifiedBy>i2659r32</cp:lastModifiedBy>
  <dcterms:created xsi:type="dcterms:W3CDTF">2020-05-27T05:01:45Z</dcterms:created>
  <dcterms:modified xsi:type="dcterms:W3CDTF">2021-01-25T09:59:10Z</dcterms:modified>
</cp:coreProperties>
</file>